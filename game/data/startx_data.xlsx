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frankfan/Desktop/Project/StartX/game/data/"/>
    </mc:Choice>
  </mc:AlternateContent>
  <xr:revisionPtr revIDLastSave="0" documentId="13_ncr:1_{071EF7A9-9F8A-0742-843E-7BE392404C3E}" xr6:coauthVersionLast="47" xr6:coauthVersionMax="47" xr10:uidLastSave="{00000000-0000-0000-0000-000000000000}"/>
  <bookViews>
    <workbookView xWindow="0" yWindow="680" windowWidth="34200" windowHeight="19960" xr2:uid="{00000000-000D-0000-FFFF-FFFF00000000}"/>
  </bookViews>
  <sheets>
    <sheet name="cards" sheetId="1" r:id="rId1"/>
    <sheet name="recipes" sheetId="2" r:id="rId2"/>
    <sheet name="pack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<sst xmlns="http://schemas.openxmlformats.org/spreadsheetml/2006/main" count="434" uniqueCount="254">
  <si>
    <t>id</t>
  </si>
  <si>
    <t>name</t>
  </si>
  <si>
    <t>stage</t>
  </si>
  <si>
    <t>price</t>
  </si>
  <si>
    <t>minCards</t>
  </si>
  <si>
    <t>maxCards</t>
  </si>
  <si>
    <t>slot1Card1</t>
  </si>
  <si>
    <t>slot1Prob1</t>
  </si>
  <si>
    <t>slot1Card2</t>
  </si>
  <si>
    <t>slot1Prob2</t>
  </si>
  <si>
    <t>slot1Card3</t>
  </si>
  <si>
    <t>slot1Prob3</t>
  </si>
  <si>
    <t>slot1Card4</t>
  </si>
  <si>
    <t>slot1Prob4</t>
  </si>
  <si>
    <t>slot2Card1</t>
  </si>
  <si>
    <t>slot2Prob1</t>
  </si>
  <si>
    <t>slot2Card2</t>
  </si>
  <si>
    <t>slot2Prob2</t>
  </si>
  <si>
    <t>slot2Card3</t>
  </si>
  <si>
    <t>slot2Prob3</t>
  </si>
  <si>
    <t>slot2Card4</t>
  </si>
  <si>
    <t>slot2Prob4</t>
  </si>
  <si>
    <t>slot3Card1</t>
  </si>
  <si>
    <t>slot3Prob1</t>
  </si>
  <si>
    <t>slot3Card2</t>
  </si>
  <si>
    <t>slot3Prob2</t>
  </si>
  <si>
    <t>slot3Card3</t>
  </si>
  <si>
    <t>slot3Prob3</t>
  </si>
  <si>
    <t>slot3Card4</t>
  </si>
  <si>
    <t>slot3Prob4</t>
  </si>
  <si>
    <t>slot4Card1</t>
  </si>
  <si>
    <t>slot4Prob1</t>
  </si>
  <si>
    <t>slot4Card2</t>
  </si>
  <si>
    <t>slot4Prob2</t>
  </si>
  <si>
    <t>slot4Card3</t>
  </si>
  <si>
    <t>slot4Prob3</t>
  </si>
  <si>
    <t>slot4Card4</t>
  </si>
  <si>
    <t>slot4Prob4</t>
  </si>
  <si>
    <t>slot5Card1</t>
  </si>
  <si>
    <t>slot5Prob1</t>
  </si>
  <si>
    <t>slot5Card2</t>
  </si>
  <si>
    <t>slot5Prob2</t>
  </si>
  <si>
    <t>slot5Card3</t>
  </si>
  <si>
    <t>slot5Prob3</t>
  </si>
  <si>
    <t>slot5Card4</t>
  </si>
  <si>
    <t>slot5Prob4</t>
  </si>
  <si>
    <t>garage_pack</t>
  </si>
  <si>
    <t>车库创业</t>
  </si>
  <si>
    <t>p1_neighborhood</t>
  </si>
  <si>
    <t>p1_university</t>
  </si>
  <si>
    <t>p1_youth</t>
  </si>
  <si>
    <t>p1_survey</t>
  </si>
  <si>
    <t>p1_customer</t>
  </si>
  <si>
    <t>p1_intern</t>
  </si>
  <si>
    <t>p1_wholesale</t>
  </si>
  <si>
    <t>p1_marketing</t>
  </si>
  <si>
    <t>p1_rawprod</t>
  </si>
  <si>
    <t>p1_package</t>
  </si>
  <si>
    <t>p1_office</t>
  </si>
  <si>
    <t>founder</t>
  </si>
  <si>
    <t>Developemnt_pack</t>
  </si>
  <si>
    <t>起步发展</t>
  </si>
  <si>
    <t>p2_law_firm</t>
  </si>
  <si>
    <t>p2_contract</t>
  </si>
  <si>
    <t>p2_grad</t>
  </si>
  <si>
    <t>p2_admin_management</t>
  </si>
  <si>
    <t>p2_orderly_workstation</t>
  </si>
  <si>
    <t>p2_document</t>
  </si>
  <si>
    <t>p2_sales_course</t>
  </si>
  <si>
    <t>p2_product_course</t>
  </si>
  <si>
    <t>p2_legal_admin_course</t>
  </si>
  <si>
    <t>p2_sales_specialist</t>
  </si>
  <si>
    <t>p2_product_specialist</t>
  </si>
  <si>
    <t>p2_admin_specialist</t>
  </si>
  <si>
    <t>channel_pack</t>
  </si>
  <si>
    <t>供应链管理</t>
  </si>
  <si>
    <t>product_pack</t>
  </si>
  <si>
    <t>产品升级</t>
  </si>
  <si>
    <t>office_pack</t>
  </si>
  <si>
    <t>办公空间扩大</t>
  </si>
  <si>
    <t>rival_pack</t>
  </si>
  <si>
    <t>急！商战来袭！</t>
  </si>
  <si>
    <t>funding_pack</t>
  </si>
  <si>
    <t>融资壮大</t>
  </si>
  <si>
    <t>ipo_pack</t>
  </si>
  <si>
    <t>上市IPO 时刻！</t>
  </si>
  <si>
    <t>international_pack</t>
  </si>
  <si>
    <t>国际扩张</t>
  </si>
  <si>
    <t>fortune500_pack</t>
  </si>
  <si>
    <t>战！巨头竞争！</t>
  </si>
  <si>
    <t>type</t>
  </si>
  <si>
    <t>workTags</t>
  </si>
  <si>
    <t>salary</t>
  </si>
  <si>
    <t>capacity</t>
  </si>
  <si>
    <t>spaceCapacity</t>
  </si>
  <si>
    <t>value</t>
  </si>
  <si>
    <t>maxUses</t>
  </si>
  <si>
    <t>hp</t>
  </si>
  <si>
    <t>attack</t>
  </si>
  <si>
    <t>workRequired</t>
  </si>
  <si>
    <t>flavor</t>
  </si>
  <si>
    <t>cost</t>
  </si>
  <si>
    <t>创始人</t>
  </si>
  <si>
    <t>employee</t>
  </si>
  <si>
    <t>sales,dev,admin,market,data,finance,any</t>
  </si>
  <si>
    <t>不用给钱，啥都能干。梦想是改变世界，合伙人是自己的猫。</t>
  </si>
  <si>
    <t>cash</t>
  </si>
  <si>
    <t>现金</t>
  </si>
  <si>
    <t>让你又爱又恨的东西。</t>
  </si>
  <si>
    <t>小型居住社区</t>
  </si>
  <si>
    <t>resource</t>
  </si>
  <si>
    <t>3-5</t>
  </si>
  <si>
    <t>每个大公司的首批客户都是亲戚朋友和邻居们。</t>
  </si>
  <si>
    <t>小区青年</t>
  </si>
  <si>
    <t>customer</t>
  </si>
  <si>
    <t>不看牌子，便宜好用就行。</t>
  </si>
  <si>
    <t>市场调研</t>
  </si>
  <si>
    <t>tool</t>
  </si>
  <si>
    <t>送10个鸡蛋，消费者会在问卷里说实话吗？</t>
  </si>
  <si>
    <t>靠谱客户</t>
  </si>
  <si>
    <t>关注高性价比产品的人。</t>
  </si>
  <si>
    <t>大学</t>
  </si>
  <si>
    <t>真好，又回到校园了！</t>
  </si>
  <si>
    <t>实习生</t>
  </si>
  <si>
    <t>any</t>
  </si>
  <si>
    <t>懵懂的眼神，管饭就行。</t>
  </si>
  <si>
    <t>批发市场</t>
  </si>
  <si>
    <t>“能再便宜点吗，不能我走了啊！”</t>
  </si>
  <si>
    <t>粗糙产品</t>
  </si>
  <si>
    <t>product</t>
  </si>
  <si>
    <t>就这个价格还要啥自行车？</t>
  </si>
  <si>
    <t>营销策划</t>
  </si>
  <si>
    <t>“真正好的产品不需要包装。”但我们的不是</t>
  </si>
  <si>
    <t>带包装的粗糙产品</t>
  </si>
  <si>
    <t>带包装的自行车。</t>
  </si>
  <si>
    <t>创始人办公桌</t>
  </si>
  <si>
    <t>facility</t>
  </si>
  <si>
    <t>联合办公里最便宜的非固定工位，咖啡管够</t>
  </si>
  <si>
    <t>rival1</t>
  </si>
  <si>
    <t>银牌销售员</t>
  </si>
  <si>
    <t>rival</t>
  </si>
  <si>
    <t>原来经常尾随你们的人，就是他。</t>
  </si>
  <si>
    <t>律师事务所</t>
  </si>
  <si>
    <t>Better Call Me!</t>
  </si>
  <si>
    <t>文书</t>
  </si>
  <si>
    <t>一份空白的.Docx文件而已。</t>
  </si>
  <si>
    <t>合同</t>
  </si>
  <si>
    <t>希望你认真看一下。</t>
  </si>
  <si>
    <t>毕业生</t>
  </si>
  <si>
    <t>以管理培训生的名义招来的通用年轻人。</t>
  </si>
  <si>
    <t>行政管理</t>
  </si>
  <si>
    <t>销售技巧课程</t>
  </si>
  <si>
    <t>“听懂掌声！”</t>
  </si>
  <si>
    <t>产品技能课程</t>
  </si>
  <si>
    <t>法务行政课程</t>
  </si>
  <si>
    <t>销售专员</t>
  </si>
  <si>
    <t>sales,any</t>
  </si>
  <si>
    <t>产品专员</t>
  </si>
  <si>
    <t>dev,any</t>
  </si>
  <si>
    <t>行政专员</t>
  </si>
  <si>
    <t>admin,any</t>
  </si>
  <si>
    <t>老板的好助手。</t>
  </si>
  <si>
    <t>井井有条的工位</t>
  </si>
  <si>
    <t>一张干净的桌子和空荡荡的空间。</t>
  </si>
  <si>
    <t>备注</t>
  </si>
  <si>
    <t>requiredIdeaId</t>
  </si>
  <si>
    <t>worker_tags</t>
  </si>
  <si>
    <t>duration</t>
  </si>
  <si>
    <t>input1</t>
  </si>
  <si>
    <t>input1Count</t>
  </si>
  <si>
    <t>input1Consume</t>
  </si>
  <si>
    <t>input2</t>
  </si>
  <si>
    <t>input2Count</t>
  </si>
  <si>
    <t>input2Consume</t>
  </si>
  <si>
    <t>input3</t>
  </si>
  <si>
    <t>input3Count</t>
  </si>
  <si>
    <t>input3Consume</t>
  </si>
  <si>
    <t>input4</t>
  </si>
  <si>
    <t>input4Count</t>
  </si>
  <si>
    <t>input4Consume</t>
  </si>
  <si>
    <t>input5</t>
  </si>
  <si>
    <t>input5Count</t>
  </si>
  <si>
    <t>input5Consume</t>
  </si>
  <si>
    <t>output1</t>
  </si>
  <si>
    <t>output1Count</t>
  </si>
  <si>
    <t>output2</t>
  </si>
  <si>
    <t>output2Count</t>
  </si>
  <si>
    <t>output3</t>
  </si>
  <si>
    <t>output3Count</t>
  </si>
  <si>
    <t>output4</t>
  </si>
  <si>
    <t>output4Count</t>
  </si>
  <si>
    <t>output5</t>
  </si>
  <si>
    <t>output5Count</t>
  </si>
  <si>
    <t>output_zone</t>
  </si>
  <si>
    <t>packId</t>
  </si>
  <si>
    <t>p2_specialist_make_customer</t>
  </si>
  <si>
    <t>拓展靠谱客户</t>
  </si>
  <si>
    <t>销售专员+小型居住社区</t>
  </si>
  <si>
    <t>false</t>
  </si>
  <si>
    <t>p2_specialist_package_product</t>
  </si>
  <si>
    <t>包装粗糙产品</t>
  </si>
  <si>
    <t>产品专员+批发市场</t>
  </si>
  <si>
    <t>p1_recruit_youth</t>
  </si>
  <si>
    <t>招募小区青年</t>
  </si>
  <si>
    <t>p1_make_customer</t>
  </si>
  <si>
    <t>转化靠谱客户</t>
  </si>
  <si>
    <t>市场调研+小区青年</t>
  </si>
  <si>
    <t>true</t>
  </si>
  <si>
    <t>p1_recruit_intern</t>
  </si>
  <si>
    <t>招募实习生</t>
  </si>
  <si>
    <t>p1_make_rawprod</t>
  </si>
  <si>
    <t>采购粗糙产品</t>
  </si>
  <si>
    <t>p1_package_prod</t>
  </si>
  <si>
    <t>包装产品</t>
  </si>
  <si>
    <t>粗糙产品+营销策划</t>
  </si>
  <si>
    <t>p1_cash_pkg_cust</t>
  </si>
  <si>
    <t>成交</t>
  </si>
  <si>
    <t>带包装的粗糙产品+靠谱客户</t>
  </si>
  <si>
    <t>p1_cash_pkg_youth</t>
  </si>
  <si>
    <t>带包装的粗糙产品+小区青年</t>
  </si>
  <si>
    <t>p1_cash_raw_cust</t>
  </si>
  <si>
    <t>粗糙产品+靠谱客户</t>
  </si>
  <si>
    <t>p1_cash_raw_youth</t>
  </si>
  <si>
    <t>粗糙产品+小区青年</t>
  </si>
  <si>
    <t>p2_make_document</t>
  </si>
  <si>
    <t>起草文书</t>
  </si>
  <si>
    <t>任意员工+创始人办公桌</t>
  </si>
  <si>
    <t>p2_train_grad</t>
  </si>
  <si>
    <t>毕业转正</t>
  </si>
  <si>
    <t>合同+实习生</t>
  </si>
  <si>
    <t>p2_make_sales_course</t>
  </si>
  <si>
    <t>编写销售技巧课程</t>
  </si>
  <si>
    <t>文书+市场调研</t>
  </si>
  <si>
    <t>p2_make_product_course</t>
  </si>
  <si>
    <t>编写产品技能课程</t>
  </si>
  <si>
    <t>文书+营销策划</t>
  </si>
  <si>
    <t>p2_make_legal_admin_course</t>
  </si>
  <si>
    <t>编写法务行政课程</t>
  </si>
  <si>
    <t>文书+行政管理</t>
  </si>
  <si>
    <t>p2_train_sales_specialist</t>
  </si>
  <si>
    <t>培养销售专员</t>
  </si>
  <si>
    <t>毕业生+销售技巧课程</t>
  </si>
  <si>
    <t>p2_train_product_specialist</t>
  </si>
  <si>
    <t>培养产品专员</t>
  </si>
  <si>
    <t>毕业生+产品技能课程</t>
  </si>
  <si>
    <t>p2_train_admin_specialist</t>
  </si>
  <si>
    <t>培养行政专员</t>
  </si>
  <si>
    <t>毕业生+法务行政课程</t>
  </si>
  <si>
    <t>p2_build_orderly_workstation</t>
  </si>
  <si>
    <t>租赁布置新办公空间</t>
  </si>
  <si>
    <t>创始人办公桌+行政管理</t>
  </si>
  <si>
    <t>p2_make_contract</t>
  </si>
  <si>
    <t>起草合同</t>
  </si>
  <si>
    <t>文书+律师事务所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</si>
</sst>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</font>
    <font>
      <sz val="11"/>
      <color theme="1"/>
      <name val="宋体"/>
      <family val="3"/>
      <charset val="134"/>
    </font>
    <font>
      <sz val="9"/>
      <name val="FangSong"/>
      <family val="3"/>
      <charset val="134"/>
    </font>
    <font>
      <b/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2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"/>
  <sheetViews>
    <sheetView tabSelected="1" workbookViewId="0">
      <selection activeCell="L7" sqref="L7"/>
    </sheetView>
  </sheetViews>
  <sheetFormatPr baseColWidth="10" defaultColWidth="8.83203125" defaultRowHeight="14"/>
  <cols>
    <col min="1" max="1" width="25.33203125" customWidth="1"/>
    <col min="2" max="2" width="17.1640625" customWidth="1"/>
    <col min="3" max="3" width="15.33203125" customWidth="1"/>
    <col min="12" max="12" width="14.1640625" bestFit="1" customWidth="1"/>
    <col min="13" max="13" width="56" customWidth="1"/>
  </cols>
  <sheetData>
    <row r="1" spans="1:14">
      <c r="A1" t="s">
        <v>0</v>
      </c>
      <c r="B1" t="s">
        <v>1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</row>
    <row r="2" spans="1:14">
      <c r="A2" t="s">
        <v>59</v>
      </c>
      <c r="B2" s="1" t="s">
        <v>102</v>
      </c>
      <c r="C2" t="s">
        <v>103</v>
      </c>
      <c r="D2" t="s">
        <v>104</v>
      </c>
      <c r="E2">
        <v>0</v>
      </c>
      <c r="F2">
        <v>5</v>
      </c>
      <c r="H2">
        <v>0</v>
      </c>
      <c r="L2" s="1"/>
      <c r="M2" t="s">
        <v>105</v>
      </c>
    </row>
    <row r="3" spans="1:14">
      <c r="A3" t="s">
        <v>106</v>
      </c>
      <c r="B3" t="s">
        <v>107</v>
      </c>
      <c r="C3" t="s">
        <v>106</v>
      </c>
      <c r="E3">
        <v>0</v>
      </c>
      <c r="F3">
        <v>0</v>
      </c>
      <c r="H3">
        <v>0</v>
      </c>
      <c r="L3" s="1">
        <v>3</v>
      </c>
      <c r="M3" t="s">
        <v>108</v>
      </c>
    </row>
    <row r="4" spans="1:14">
      <c r="A4" t="s">
        <v>48</v>
      </c>
      <c r="B4" s="1" t="s">
        <v>109</v>
      </c>
      <c r="C4" t="s">
        <v>110</v>
      </c>
      <c r="I4" t="s">
        <v>111</v>
      </c>
      <c r="L4" s="1"/>
      <c r="M4" t="s">
        <v>112</v>
      </c>
    </row>
    <row r="5" spans="1:14">
      <c r="A5" t="s">
        <v>50</v>
      </c>
      <c r="B5" t="s">
        <v>113</v>
      </c>
      <c r="C5" t="s">
        <v>114</v>
      </c>
      <c r="H5">
        <v>1</v>
      </c>
      <c r="L5" s="1">
        <v>10</v>
      </c>
      <c r="M5" t="s">
        <v>115</v>
      </c>
    </row>
    <row r="6" spans="1:14">
      <c r="A6" t="s">
        <v>51</v>
      </c>
      <c r="B6" t="s">
        <v>116</v>
      </c>
      <c r="C6" t="s">
        <v>117</v>
      </c>
      <c r="H6">
        <v>1</v>
      </c>
      <c r="M6" t="s">
        <v>118</v>
      </c>
    </row>
    <row r="7" spans="1:14">
      <c r="A7" t="s">
        <v>52</v>
      </c>
      <c r="B7" t="s">
        <v>119</v>
      </c>
      <c r="C7" t="s">
        <v>114</v>
      </c>
      <c r="H7">
        <v>2</v>
      </c>
      <c r="L7" s="1">
        <v>15</v>
      </c>
      <c r="M7" t="s">
        <v>120</v>
      </c>
    </row>
    <row r="8" spans="1:14">
      <c r="A8" t="s">
        <v>49</v>
      </c>
      <c r="B8" t="s">
        <v>121</v>
      </c>
      <c r="C8" t="s">
        <v>110</v>
      </c>
      <c r="I8" t="s">
        <v>111</v>
      </c>
      <c r="L8" s="1"/>
      <c r="M8" t="s">
        <v>122</v>
      </c>
    </row>
    <row r="9" spans="1:14">
      <c r="A9" t="s">
        <v>53</v>
      </c>
      <c r="B9" t="s">
        <v>123</v>
      </c>
      <c r="C9" t="s">
        <v>103</v>
      </c>
      <c r="D9" t="s">
        <v>124</v>
      </c>
      <c r="E9">
        <v>1</v>
      </c>
      <c r="F9">
        <v>1</v>
      </c>
      <c r="L9" s="1">
        <v>8</v>
      </c>
      <c r="M9" t="s">
        <v>125</v>
      </c>
    </row>
    <row r="10" spans="1:14">
      <c r="A10" t="s">
        <v>54</v>
      </c>
      <c r="B10" t="s">
        <v>126</v>
      </c>
      <c r="C10" t="s">
        <v>110</v>
      </c>
      <c r="I10" t="s">
        <v>111</v>
      </c>
      <c r="M10" t="s">
        <v>127</v>
      </c>
    </row>
    <row r="11" spans="1:14">
      <c r="A11" t="s">
        <v>56</v>
      </c>
      <c r="B11" s="1" t="s">
        <v>128</v>
      </c>
      <c r="C11" t="s">
        <v>129</v>
      </c>
      <c r="H11">
        <v>1</v>
      </c>
      <c r="L11" s="1">
        <v>15</v>
      </c>
      <c r="M11" t="s">
        <v>130</v>
      </c>
      <c r="N11">
        <v>1</v>
      </c>
    </row>
    <row r="12" spans="1:14">
      <c r="A12" t="s">
        <v>55</v>
      </c>
      <c r="B12" t="s">
        <v>131</v>
      </c>
      <c r="C12" t="s">
        <v>117</v>
      </c>
      <c r="H12">
        <v>1</v>
      </c>
      <c r="L12" s="1"/>
      <c r="M12" t="s">
        <v>132</v>
      </c>
    </row>
    <row r="13" spans="1:14">
      <c r="A13" t="s">
        <v>57</v>
      </c>
      <c r="B13" s="1" t="s">
        <v>133</v>
      </c>
      <c r="C13" t="s">
        <v>129</v>
      </c>
      <c r="H13">
        <v>2</v>
      </c>
      <c r="L13" s="1">
        <v>30</v>
      </c>
      <c r="M13" t="s">
        <v>134</v>
      </c>
      <c r="N13">
        <v>2</v>
      </c>
    </row>
    <row r="14" spans="1:14">
      <c r="A14" t="s">
        <v>58</v>
      </c>
      <c r="B14" s="1" t="s">
        <v>135</v>
      </c>
      <c r="C14" t="s">
        <v>136</v>
      </c>
      <c r="E14">
        <v>2</v>
      </c>
      <c r="G14">
        <v>30</v>
      </c>
      <c r="M14" t="s">
        <v>137</v>
      </c>
    </row>
    <row r="15" spans="1:14">
      <c r="A15" t="s">
        <v>138</v>
      </c>
      <c r="B15" s="1" t="s">
        <v>139</v>
      </c>
      <c r="C15" t="s">
        <v>140</v>
      </c>
      <c r="E15">
        <v>0</v>
      </c>
      <c r="F15">
        <v>2</v>
      </c>
      <c r="H15">
        <v>0</v>
      </c>
      <c r="J15">
        <v>2</v>
      </c>
      <c r="M15" t="s">
        <v>141</v>
      </c>
    </row>
    <row r="16" spans="1:14">
      <c r="A16" t="s">
        <v>62</v>
      </c>
      <c r="B16" t="s">
        <v>142</v>
      </c>
      <c r="C16" t="s">
        <v>110</v>
      </c>
      <c r="I16" t="s">
        <v>111</v>
      </c>
      <c r="L16" s="1"/>
      <c r="M16" t="s">
        <v>143</v>
      </c>
    </row>
    <row r="17" spans="1:14">
      <c r="A17" t="s">
        <v>67</v>
      </c>
      <c r="B17" t="s">
        <v>144</v>
      </c>
      <c r="C17" t="s">
        <v>117</v>
      </c>
      <c r="E17">
        <v>0</v>
      </c>
      <c r="F17">
        <v>0</v>
      </c>
      <c r="H17">
        <v>0</v>
      </c>
      <c r="L17" s="1">
        <v>15</v>
      </c>
      <c r="M17" s="1" t="s">
        <v>145</v>
      </c>
      <c r="N17">
        <v>0</v>
      </c>
    </row>
    <row r="18" spans="1:14">
      <c r="A18" t="s">
        <v>63</v>
      </c>
      <c r="B18" t="s">
        <v>146</v>
      </c>
      <c r="C18" t="s">
        <v>117</v>
      </c>
      <c r="H18">
        <v>0</v>
      </c>
      <c r="L18" s="1">
        <v>20</v>
      </c>
      <c r="M18" t="s">
        <v>147</v>
      </c>
    </row>
    <row r="19" spans="1:14">
      <c r="A19" t="s">
        <v>64</v>
      </c>
      <c r="B19" t="s">
        <v>148</v>
      </c>
      <c r="C19" t="s">
        <v>103</v>
      </c>
      <c r="D19" t="s">
        <v>124</v>
      </c>
      <c r="E19">
        <v>1</v>
      </c>
      <c r="F19">
        <v>2</v>
      </c>
      <c r="L19" s="1">
        <v>6</v>
      </c>
      <c r="M19" t="s">
        <v>149</v>
      </c>
    </row>
    <row r="20" spans="1:14">
      <c r="A20" t="s">
        <v>65</v>
      </c>
      <c r="B20" t="s">
        <v>150</v>
      </c>
      <c r="C20" t="s">
        <v>117</v>
      </c>
      <c r="H20">
        <v>1</v>
      </c>
      <c r="L20">
        <v>15</v>
      </c>
    </row>
    <row r="21" spans="1:14">
      <c r="A21" t="s">
        <v>68</v>
      </c>
      <c r="B21" t="s">
        <v>151</v>
      </c>
      <c r="C21" t="s">
        <v>117</v>
      </c>
      <c r="H21">
        <v>2</v>
      </c>
      <c r="L21" s="1">
        <v>20</v>
      </c>
      <c r="M21" t="s">
        <v>152</v>
      </c>
    </row>
    <row r="22" spans="1:14">
      <c r="A22" t="s">
        <v>69</v>
      </c>
      <c r="B22" t="s">
        <v>153</v>
      </c>
      <c r="C22" t="s">
        <v>117</v>
      </c>
      <c r="H22">
        <v>2</v>
      </c>
      <c r="L22">
        <v>20</v>
      </c>
    </row>
    <row r="23" spans="1:14">
      <c r="A23" t="s">
        <v>70</v>
      </c>
      <c r="B23" t="s">
        <v>154</v>
      </c>
      <c r="C23" t="s">
        <v>117</v>
      </c>
      <c r="H23">
        <v>2</v>
      </c>
      <c r="L23">
        <v>20</v>
      </c>
    </row>
    <row r="24" spans="1:14">
      <c r="A24" t="s">
        <v>71</v>
      </c>
      <c r="B24" t="s">
        <v>155</v>
      </c>
      <c r="C24" t="s">
        <v>103</v>
      </c>
      <c r="D24" t="s">
        <v>156</v>
      </c>
      <c r="E24">
        <v>2</v>
      </c>
      <c r="F24">
        <v>3</v>
      </c>
      <c r="L24">
        <v>6</v>
      </c>
    </row>
    <row r="25" spans="1:14">
      <c r="A25" t="s">
        <v>72</v>
      </c>
      <c r="B25" t="s">
        <v>157</v>
      </c>
      <c r="C25" t="s">
        <v>103</v>
      </c>
      <c r="D25" t="s">
        <v>158</v>
      </c>
      <c r="E25">
        <v>2</v>
      </c>
      <c r="F25">
        <v>3</v>
      </c>
      <c r="L25">
        <v>6</v>
      </c>
    </row>
    <row r="26" spans="1:14">
      <c r="A26" t="s">
        <v>73</v>
      </c>
      <c r="B26" t="s">
        <v>159</v>
      </c>
      <c r="C26" t="s">
        <v>103</v>
      </c>
      <c r="D26" t="s">
        <v>160</v>
      </c>
      <c r="E26">
        <v>2</v>
      </c>
      <c r="F26">
        <v>3</v>
      </c>
      <c r="L26" s="1">
        <v>6</v>
      </c>
      <c r="M26" t="s">
        <v>161</v>
      </c>
    </row>
    <row r="27" spans="1:14">
      <c r="A27" t="s">
        <v>66</v>
      </c>
      <c r="B27" s="1" t="s">
        <v>162</v>
      </c>
      <c r="C27" t="s">
        <v>136</v>
      </c>
      <c r="E27">
        <v>2</v>
      </c>
      <c r="G27">
        <v>5</v>
      </c>
      <c r="H27">
        <v>1</v>
      </c>
      <c r="L27" s="1">
        <v>30</v>
      </c>
      <c r="M27" t="s">
        <v>163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2"/>
  <sheetViews>
    <sheetView workbookViewId="0">
      <selection activeCell="F2" sqref="F2"/>
    </sheetView>
  </sheetViews>
  <sheetFormatPr baseColWidth="10" defaultColWidth="8.83203125" defaultRowHeight="14"/>
  <cols>
    <col min="1" max="1" width="33.1640625" customWidth="1"/>
    <col min="2" max="2" width="18.83203125" customWidth="1"/>
    <col min="3" max="3" width="28.83203125" customWidth="1"/>
    <col min="5" max="5" width="13" bestFit="1" customWidth="1"/>
    <col min="6" max="6" width="10" bestFit="1" customWidth="1"/>
    <col min="7" max="7" width="13" customWidth="1"/>
    <col min="8" max="8" width="15.33203125" customWidth="1"/>
    <col min="9" max="9" width="24.1640625" customWidth="1"/>
    <col min="10" max="10" width="13" customWidth="1"/>
    <col min="11" max="11" width="15.33203125" customWidth="1"/>
    <col min="21" max="21" width="25.33203125" customWidth="1"/>
  </cols>
  <sheetData>
    <row r="1" spans="1:33">
      <c r="A1" t="s">
        <v>0</v>
      </c>
      <c r="B1" t="s">
        <v>1</v>
      </c>
      <c r="C1" t="s">
        <v>164</v>
      </c>
      <c r="D1" t="s">
        <v>165</v>
      </c>
      <c r="E1" t="s">
        <v>166</v>
      </c>
      <c r="F1" s="4" t="s">
        <v>167</v>
      </c>
      <c r="G1" t="s">
        <v>168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180</v>
      </c>
      <c r="T1" t="s">
        <v>181</v>
      </c>
      <c r="U1" t="s">
        <v>182</v>
      </c>
      <c r="V1" t="s">
        <v>183</v>
      </c>
      <c r="W1" t="s">
        <v>184</v>
      </c>
      <c r="X1" t="s">
        <v>185</v>
      </c>
      <c r="Y1" t="s">
        <v>186</v>
      </c>
      <c r="Z1" t="s">
        <v>187</v>
      </c>
      <c r="AA1" t="s">
        <v>188</v>
      </c>
      <c r="AB1" t="s">
        <v>189</v>
      </c>
      <c r="AC1" t="s">
        <v>190</v>
      </c>
      <c r="AD1" t="s">
        <v>191</v>
      </c>
      <c r="AE1" t="s">
        <v>192</v>
      </c>
      <c r="AF1" t="s">
        <v>193</v>
      </c>
      <c r="AG1" t="s">
        <v>194</v>
      </c>
    </row>
    <row r="2" spans="1:33" ht="15">
      <c r="A2" t="s">
        <v>195</v>
      </c>
      <c r="B2" s="2" t="s">
        <v>196</v>
      </c>
      <c r="C2" s="2" t="s">
        <v>197</v>
      </c>
      <c r="F2" s="3" t="str">
        <f ca="1">IF(IFERROR(_xludf.XLOOKUP(V2,cards!$A$2:$A$27,cards!$L$2:$L$27),0)&lt;=0,"",IFERROR(_xludf.XLOOKUP(V2,cards!$A$2:$A$27,cards!$L$2:$L$27),0)/MAX(1,IF(IFERROR(_xludf.XLOOKUP(G2,cards!$A$2:$A$27,cards!$C$2:$C$27),"")="employee",IFERROR(_xludf.XLOOKUP(G2,cards!$A$2:$A$27,cards!$F$2:$F$27),0),IF(IFERROR(_xludf.XLOOKUP(J2,cards!$A$2:$A$27,cards!$C$2:$C$27),"")="employee",IFERROR(_xludf.XLOOKUP(J2,cards!$A$2:$A$27,cards!$F$2:$F$27),0),IF(IFERROR(_xludf.XLOOKUP(M2,cards!$A$2:$A$27,cards!$C$2:$C$27),"")="employee",IFERROR(_xludf.XLOOKUP(M2,cards!$A$2:$A$27,cards!$F$2:$F$27),0),IF(IFERROR(_xludf.XLOOKUP(P2,cards!$A$2:$A$27,cards!$C$2:$C$27),"")="employee",IFERROR(_xludf.XLOOKUP(P2,cards!$A$2:$A$27,cards!$F$2:$F$27),0),IF(IFERROR(_xludf.XLOOKUP(S2,cards!$A$2:$A$27,cards!$C$2:$C$27),"")="employee",IFERROR(_xludf.XLOOKUP(S2,cards!$A$2:$A$27,cards!$F$2:$F$27),0),0)))))+IF(IFERROR(_xludf.XLOOKUP(G2,cards!$A$2:$A$27,cards!$C$2:$C$27),"")="tool",IFERROR(_xludf.XLOOKUP(G2,cards!$A$2:$A$27,cards!$H$2:$H$27),0),IF(IFERROR(_xludf.XLOOKUP(J2,cards!$A$2:$A$27,cards!$C$2:$C$27),"")="tool",IFERROR(_xludf.XLOOKUP(J2,cards!$A$2:$A$27,cards!$H$2:$H$27),0),IF(IFERROR(_xludf.XLOOKUP(M2,cards!$A$2:$A$27,cards!$C$2:$C$27),"")="tool",IFERROR(_xludf.XLOOKUP(M2,cards!$A$2:$A$27,cards!$H$2:$H$27),0),IF(IFERROR(_xludf.XLOOKUP(P2,cards!$A$2:$A$27,cards!$C$2:$C$27),"")="tool",IFERROR(_xludf.XLOOKUP(P2,cards!$A$2:$A$27,cards!$H$2:$H$27),0),IF(IFERROR(_xludf.XLOOKUP(S2,cards!$A$2:$A$27,cards!$C$2:$C$27),"")="tool",IFERROR(_xludf.XLOOKUP(S2,cards!$A$2:$A$27,cards!$H$2:$H$27),0),0)))))+IF(IFERROR(_xludf.XLOOKUP(G2,cards!$A$2:$A$27,cards!$C$2:$C$27),"")="product",IFERROR(_xludf.XLOOKUP(G2,cards!$A$2:$A$27,cards!$H$2:$H$27),0),IF(IFERROR(_xludf.XLOOKUP(J2,cards!$A$2:$A$27,cards!$C$2:$C$27),"")="product",IFERROR(_xludf.XLOOKUP(J2,cards!$A$2:$A$27,cards!$H$2:$H$27),0),IF(IFERROR(_xludf.XLOOKUP(M2,cards!$A$2:$A$27,cards!$C$2:$C$27),"")="product",IFERROR(_xludf.XLOOKUP(M2,cards!$A$2:$A$27,cards!$H$2:$H$27),0),IF(IFERROR(_xludf.XLOOKUP(P2,cards!$A$2:$A$27,cards!$C$2:$C$27),"")="product",IFERROR(_xludf.XLOOKUP(P2,cards!$A$2:$A$27,cards!$H$2:$H$27),0),IF(IFERROR(_xludf.XLOOKUP(S2,cards!$A$2:$A$27,cards!$C$2:$C$27),"")="product",IFERROR(_xludf.XLOOKUP(S2,cards!$A$2:$A$27,cards!$H$2:$H$27),0),0)))))))</f>
        <v/>
      </c>
      <c r="G2" t="s">
        <v>71</v>
      </c>
      <c r="H2">
        <v>1</v>
      </c>
      <c r="I2" t="s">
        <v>198</v>
      </c>
      <c r="J2" t="s">
        <v>48</v>
      </c>
      <c r="K2">
        <v>1</v>
      </c>
      <c r="L2" t="s">
        <v>198</v>
      </c>
      <c r="V2" t="s">
        <v>52</v>
      </c>
      <c r="W2">
        <v>1</v>
      </c>
      <c r="AG2" t="s">
        <v>60</v>
      </c>
    </row>
    <row r="3" spans="1:33" ht="15">
      <c r="A3" t="s">
        <v>199</v>
      </c>
      <c r="B3" s="2" t="s">
        <v>200</v>
      </c>
      <c r="C3" s="2" t="s">
        <v>201</v>
      </c>
      <c r="F3" s="3" t="str">
        <f ca="1">IF(IFERROR(_xludf.XLOOKUP(V3,cards!$A$2:$A$27,cards!$L$2:$L$27),0)&lt;=0,"",IFERROR(_xludf.XLOOKUP(V3,cards!$A$2:$A$27,cards!$L$2:$L$27),0)/MAX(1,IF(IFERROR(_xludf.XLOOKUP(G3,cards!$A$2:$A$27,cards!$C$2:$C$27),"")="employee",IFERROR(_xludf.XLOOKUP(G3,cards!$A$2:$A$27,cards!$F$2:$F$27),0),IF(IFERROR(_xludf.XLOOKUP(J3,cards!$A$2:$A$27,cards!$C$2:$C$27),"")="employee",IFERROR(_xludf.XLOOKUP(J3,cards!$A$2:$A$27,cards!$F$2:$F$27),0),IF(IFERROR(_xludf.XLOOKUP(M3,cards!$A$2:$A$27,cards!$C$2:$C$27),"")="employee",IFERROR(_xludf.XLOOKUP(M3,cards!$A$2:$A$27,cards!$F$2:$F$27),0),IF(IFERROR(_xludf.XLOOKUP(P3,cards!$A$2:$A$27,cards!$C$2:$C$27),"")="employee",IFERROR(_xludf.XLOOKUP(P3,cards!$A$2:$A$27,cards!$F$2:$F$27),0),IF(IFERROR(_xludf.XLOOKUP(S3,cards!$A$2:$A$27,cards!$C$2:$C$27),"")="employee",IFERROR(_xludf.XLOOKUP(S3,cards!$A$2:$A$27,cards!$F$2:$F$27),0),0)))))+IF(IFERROR(_xludf.XLOOKUP(G3,cards!$A$2:$A$27,cards!$C$2:$C$27),"")="tool",IFERROR(_xludf.XLOOKUP(G3,cards!$A$2:$A$27,cards!$H$2:$H$27),0),IF(IFERROR(_xludf.XLOOKUP(J3,cards!$A$2:$A$27,cards!$C$2:$C$27),"")="tool",IFERROR(_xludf.XLOOKUP(J3,cards!$A$2:$A$27,cards!$H$2:$H$27),0),IF(IFERROR(_xludf.XLOOKUP(M3,cards!$A$2:$A$27,cards!$C$2:$C$27),"")="tool",IFERROR(_xludf.XLOOKUP(M3,cards!$A$2:$A$27,cards!$H$2:$H$27),0),IF(IFERROR(_xludf.XLOOKUP(P3,cards!$A$2:$A$27,cards!$C$2:$C$27),"")="tool",IFERROR(_xludf.XLOOKUP(P3,cards!$A$2:$A$27,cards!$H$2:$H$27),0),IF(IFERROR(_xludf.XLOOKUP(S3,cards!$A$2:$A$27,cards!$C$2:$C$27),"")="tool",IFERROR(_xludf.XLOOKUP(S3,cards!$A$2:$A$27,cards!$H$2:$H$27),0),0)))))+IF(IFERROR(_xludf.XLOOKUP(G3,cards!$A$2:$A$27,cards!$C$2:$C$27),"")="product",IFERROR(_xludf.XLOOKUP(G3,cards!$A$2:$A$27,cards!$H$2:$H$27),0),IF(IFERROR(_xludf.XLOOKUP(J3,cards!$A$2:$A$27,cards!$C$2:$C$27),"")="product",IFERROR(_xludf.XLOOKUP(J3,cards!$A$2:$A$27,cards!$H$2:$H$27),0),IF(IFERROR(_xludf.XLOOKUP(M3,cards!$A$2:$A$27,cards!$C$2:$C$27),"")="product",IFERROR(_xludf.XLOOKUP(M3,cards!$A$2:$A$27,cards!$H$2:$H$27),0),IF(IFERROR(_xludf.XLOOKUP(P3,cards!$A$2:$A$27,cards!$C$2:$C$27),"")="product",IFERROR(_xludf.XLOOKUP(P3,cards!$A$2:$A$27,cards!$H$2:$H$27),0),IF(IFERROR(_xludf.XLOOKUP(S3,cards!$A$2:$A$27,cards!$C$2:$C$27),"")="product",IFERROR(_xludf.XLOOKUP(S3,cards!$A$2:$A$27,cards!$H$2:$H$27),0),0)))))))</f>
        <v/>
      </c>
      <c r="G3" t="s">
        <v>72</v>
      </c>
      <c r="H3">
        <v>1</v>
      </c>
      <c r="I3" t="s">
        <v>198</v>
      </c>
      <c r="J3" t="s">
        <v>54</v>
      </c>
      <c r="K3">
        <v>1</v>
      </c>
      <c r="L3" t="s">
        <v>198</v>
      </c>
      <c r="V3" t="s">
        <v>57</v>
      </c>
      <c r="W3">
        <v>1</v>
      </c>
      <c r="AG3" t="s">
        <v>60</v>
      </c>
    </row>
    <row r="4" spans="1:33" ht="15">
      <c r="A4" t="s">
        <v>202</v>
      </c>
      <c r="B4" s="2" t="s">
        <v>203</v>
      </c>
      <c r="C4" s="2" t="s">
        <v>109</v>
      </c>
      <c r="E4" t="s">
        <v>124</v>
      </c>
      <c r="F4" s="3" t="str">
        <f ca="1">IF(IFERROR(_xludf.XLOOKUP(V4,cards!$A$2:$A$27,cards!$L$2:$L$27),0)&lt;=0,"",IFERROR(_xludf.XLOOKUP(V4,cards!$A$2:$A$27,cards!$L$2:$L$27),0)/MAX(1,IF(IFERROR(_xludf.XLOOKUP(G4,cards!$A$2:$A$27,cards!$C$2:$C$27),"")="employee",IFERROR(_xludf.XLOOKUP(G4,cards!$A$2:$A$27,cards!$F$2:$F$27),0),IF(IFERROR(_xludf.XLOOKUP(J4,cards!$A$2:$A$27,cards!$C$2:$C$27),"")="employee",IFERROR(_xludf.XLOOKUP(J4,cards!$A$2:$A$27,cards!$F$2:$F$27),0),IF(IFERROR(_xludf.XLOOKUP(M4,cards!$A$2:$A$27,cards!$C$2:$C$27),"")="employee",IFERROR(_xludf.XLOOKUP(M4,cards!$A$2:$A$27,cards!$F$2:$F$27),0),IF(IFERROR(_xludf.XLOOKUP(P4,cards!$A$2:$A$27,cards!$C$2:$C$27),"")="employee",IFERROR(_xludf.XLOOKUP(P4,cards!$A$2:$A$27,cards!$F$2:$F$27),0),IF(IFERROR(_xludf.XLOOKUP(S4,cards!$A$2:$A$27,cards!$C$2:$C$27),"")="employee",IFERROR(_xludf.XLOOKUP(S4,cards!$A$2:$A$27,cards!$F$2:$F$27),0),0)))))+IF(IFERROR(_xludf.XLOOKUP(G4,cards!$A$2:$A$27,cards!$C$2:$C$27),"")="tool",IFERROR(_xludf.XLOOKUP(G4,cards!$A$2:$A$27,cards!$H$2:$H$27),0),IF(IFERROR(_xludf.XLOOKUP(J4,cards!$A$2:$A$27,cards!$C$2:$C$27),"")="tool",IFERROR(_xludf.XLOOKUP(J4,cards!$A$2:$A$27,cards!$H$2:$H$27),0),IF(IFERROR(_xludf.XLOOKUP(M4,cards!$A$2:$A$27,cards!$C$2:$C$27),"")="tool",IFERROR(_xludf.XLOOKUP(M4,cards!$A$2:$A$27,cards!$H$2:$H$27),0),IF(IFERROR(_xludf.XLOOKUP(P4,cards!$A$2:$A$27,cards!$C$2:$C$27),"")="tool",IFERROR(_xludf.XLOOKUP(P4,cards!$A$2:$A$27,cards!$H$2:$H$27),0),IF(IFERROR(_xludf.XLOOKUP(S4,cards!$A$2:$A$27,cards!$C$2:$C$27),"")="tool",IFERROR(_xludf.XLOOKUP(S4,cards!$A$2:$A$27,cards!$H$2:$H$27),0),0)))))+IF(IFERROR(_xludf.XLOOKUP(G4,cards!$A$2:$A$27,cards!$C$2:$C$27),"")="product",IFERROR(_xludf.XLOOKUP(G4,cards!$A$2:$A$27,cards!$H$2:$H$27),0),IF(IFERROR(_xludf.XLOOKUP(J4,cards!$A$2:$A$27,cards!$C$2:$C$27),"")="product",IFERROR(_xludf.XLOOKUP(J4,cards!$A$2:$A$27,cards!$H$2:$H$27),0),IF(IFERROR(_xludf.XLOOKUP(M4,cards!$A$2:$A$27,cards!$C$2:$C$27),"")="product",IFERROR(_xludf.XLOOKUP(M4,cards!$A$2:$A$27,cards!$H$2:$H$27),0),IF(IFERROR(_xludf.XLOOKUP(P4,cards!$A$2:$A$27,cards!$C$2:$C$27),"")="product",IFERROR(_xludf.XLOOKUP(P4,cards!$A$2:$A$27,cards!$H$2:$H$27),0),IF(IFERROR(_xludf.XLOOKUP(S4,cards!$A$2:$A$27,cards!$C$2:$C$27),"")="product",IFERROR(_xludf.XLOOKUP(S4,cards!$A$2:$A$27,cards!$H$2:$H$27),0),0)))))))</f>
        <v/>
      </c>
      <c r="G4" t="s">
        <v>48</v>
      </c>
      <c r="H4">
        <v>1</v>
      </c>
      <c r="I4" t="s">
        <v>198</v>
      </c>
      <c r="V4" t="s">
        <v>50</v>
      </c>
      <c r="W4">
        <v>1</v>
      </c>
      <c r="AG4" t="s">
        <v>46</v>
      </c>
    </row>
    <row r="5" spans="1:33" ht="15">
      <c r="A5" t="s">
        <v>204</v>
      </c>
      <c r="B5" s="2" t="s">
        <v>205</v>
      </c>
      <c r="C5" s="2" t="s">
        <v>206</v>
      </c>
      <c r="F5" s="3" t="str">
        <f ca="1">IF(IFERROR(_xludf.XLOOKUP(V5,cards!$A$2:$A$27,cards!$L$2:$L$27),0)&lt;=0,"",IFERROR(_xludf.XLOOKUP(V5,cards!$A$2:$A$27,cards!$L$2:$L$27),0)/MAX(1,IF(IFERROR(_xludf.XLOOKUP(G5,cards!$A$2:$A$27,cards!$C$2:$C$27),"")="employee",IFERROR(_xludf.XLOOKUP(G5,cards!$A$2:$A$27,cards!$F$2:$F$27),0),IF(IFERROR(_xludf.XLOOKUP(J5,cards!$A$2:$A$27,cards!$C$2:$C$27),"")="employee",IFERROR(_xludf.XLOOKUP(J5,cards!$A$2:$A$27,cards!$F$2:$F$27),0),IF(IFERROR(_xludf.XLOOKUP(M5,cards!$A$2:$A$27,cards!$C$2:$C$27),"")="employee",IFERROR(_xludf.XLOOKUP(M5,cards!$A$2:$A$27,cards!$F$2:$F$27),0),IF(IFERROR(_xludf.XLOOKUP(P5,cards!$A$2:$A$27,cards!$C$2:$C$27),"")="employee",IFERROR(_xludf.XLOOKUP(P5,cards!$A$2:$A$27,cards!$F$2:$F$27),0),IF(IFERROR(_xludf.XLOOKUP(S5,cards!$A$2:$A$27,cards!$C$2:$C$27),"")="employee",IFERROR(_xludf.XLOOKUP(S5,cards!$A$2:$A$27,cards!$F$2:$F$27),0),0)))))+IF(IFERROR(_xludf.XLOOKUP(G5,cards!$A$2:$A$27,cards!$C$2:$C$27),"")="tool",IFERROR(_xludf.XLOOKUP(G5,cards!$A$2:$A$27,cards!$H$2:$H$27),0),IF(IFERROR(_xludf.XLOOKUP(J5,cards!$A$2:$A$27,cards!$C$2:$C$27),"")="tool",IFERROR(_xludf.XLOOKUP(J5,cards!$A$2:$A$27,cards!$H$2:$H$27),0),IF(IFERROR(_xludf.XLOOKUP(M5,cards!$A$2:$A$27,cards!$C$2:$C$27),"")="tool",IFERROR(_xludf.XLOOKUP(M5,cards!$A$2:$A$27,cards!$H$2:$H$27),0),IF(IFERROR(_xludf.XLOOKUP(P5,cards!$A$2:$A$27,cards!$C$2:$C$27),"")="tool",IFERROR(_xludf.XLOOKUP(P5,cards!$A$2:$A$27,cards!$H$2:$H$27),0),IF(IFERROR(_xludf.XLOOKUP(S5,cards!$A$2:$A$27,cards!$C$2:$C$27),"")="tool",IFERROR(_xludf.XLOOKUP(S5,cards!$A$2:$A$27,cards!$H$2:$H$27),0),0)))))+IF(IFERROR(_xludf.XLOOKUP(G5,cards!$A$2:$A$27,cards!$C$2:$C$27),"")="product",IFERROR(_xludf.XLOOKUP(G5,cards!$A$2:$A$27,cards!$H$2:$H$27),0),IF(IFERROR(_xludf.XLOOKUP(J5,cards!$A$2:$A$27,cards!$C$2:$C$27),"")="product",IFERROR(_xludf.XLOOKUP(J5,cards!$A$2:$A$27,cards!$H$2:$H$27),0),IF(IFERROR(_xludf.XLOOKUP(M5,cards!$A$2:$A$27,cards!$C$2:$C$27),"")="product",IFERROR(_xludf.XLOOKUP(M5,cards!$A$2:$A$27,cards!$H$2:$H$27),0),IF(IFERROR(_xludf.XLOOKUP(P5,cards!$A$2:$A$27,cards!$C$2:$C$27),"")="product",IFERROR(_xludf.XLOOKUP(P5,cards!$A$2:$A$27,cards!$H$2:$H$27),0),IF(IFERROR(_xludf.XLOOKUP(S5,cards!$A$2:$A$27,cards!$C$2:$C$27),"")="product",IFERROR(_xludf.XLOOKUP(S5,cards!$A$2:$A$27,cards!$H$2:$H$27),0),0)))))))</f>
        <v/>
      </c>
      <c r="G5" t="s">
        <v>51</v>
      </c>
      <c r="H5">
        <v>1</v>
      </c>
      <c r="I5" t="s">
        <v>207</v>
      </c>
      <c r="J5" t="s">
        <v>50</v>
      </c>
      <c r="K5">
        <v>1</v>
      </c>
      <c r="L5" t="s">
        <v>207</v>
      </c>
      <c r="V5" t="s">
        <v>52</v>
      </c>
      <c r="W5">
        <v>1</v>
      </c>
      <c r="AG5" t="s">
        <v>46</v>
      </c>
    </row>
    <row r="6" spans="1:33" ht="15">
      <c r="A6" t="s">
        <v>208</v>
      </c>
      <c r="B6" s="2" t="s">
        <v>209</v>
      </c>
      <c r="C6" s="2" t="s">
        <v>121</v>
      </c>
      <c r="E6" t="s">
        <v>124</v>
      </c>
      <c r="F6" s="3" t="str">
        <f ca="1">IF(IFERROR(_xludf.XLOOKUP(V6,cards!$A$2:$A$27,cards!$L$2:$L$27),0)&lt;=0,"",IFERROR(_xludf.XLOOKUP(V6,cards!$A$2:$A$27,cards!$L$2:$L$27),0)/MAX(1,IF(IFERROR(_xludf.XLOOKUP(G6,cards!$A$2:$A$27,cards!$C$2:$C$27),"")="employee",IFERROR(_xludf.XLOOKUP(G6,cards!$A$2:$A$27,cards!$F$2:$F$27),0),IF(IFERROR(_xludf.XLOOKUP(J6,cards!$A$2:$A$27,cards!$C$2:$C$27),"")="employee",IFERROR(_xludf.XLOOKUP(J6,cards!$A$2:$A$27,cards!$F$2:$F$27),0),IF(IFERROR(_xludf.XLOOKUP(M6,cards!$A$2:$A$27,cards!$C$2:$C$27),"")="employee",IFERROR(_xludf.XLOOKUP(M6,cards!$A$2:$A$27,cards!$F$2:$F$27),0),IF(IFERROR(_xludf.XLOOKUP(P6,cards!$A$2:$A$27,cards!$C$2:$C$27),"")="employee",IFERROR(_xludf.XLOOKUP(P6,cards!$A$2:$A$27,cards!$F$2:$F$27),0),IF(IFERROR(_xludf.XLOOKUP(S6,cards!$A$2:$A$27,cards!$C$2:$C$27),"")="employee",IFERROR(_xludf.XLOOKUP(S6,cards!$A$2:$A$27,cards!$F$2:$F$27),0),0)))))+IF(IFERROR(_xludf.XLOOKUP(G6,cards!$A$2:$A$27,cards!$C$2:$C$27),"")="tool",IFERROR(_xludf.XLOOKUP(G6,cards!$A$2:$A$27,cards!$H$2:$H$27),0),IF(IFERROR(_xludf.XLOOKUP(J6,cards!$A$2:$A$27,cards!$C$2:$C$27),"")="tool",IFERROR(_xludf.XLOOKUP(J6,cards!$A$2:$A$27,cards!$H$2:$H$27),0),IF(IFERROR(_xludf.XLOOKUP(M6,cards!$A$2:$A$27,cards!$C$2:$C$27),"")="tool",IFERROR(_xludf.XLOOKUP(M6,cards!$A$2:$A$27,cards!$H$2:$H$27),0),IF(IFERROR(_xludf.XLOOKUP(P6,cards!$A$2:$A$27,cards!$C$2:$C$27),"")="tool",IFERROR(_xludf.XLOOKUP(P6,cards!$A$2:$A$27,cards!$H$2:$H$27),0),IF(IFERROR(_xludf.XLOOKUP(S6,cards!$A$2:$A$27,cards!$C$2:$C$27),"")="tool",IFERROR(_xludf.XLOOKUP(S6,cards!$A$2:$A$27,cards!$H$2:$H$27),0),0)))))+IF(IFERROR(_xludf.XLOOKUP(G6,cards!$A$2:$A$27,cards!$C$2:$C$27),"")="product",IFERROR(_xludf.XLOOKUP(G6,cards!$A$2:$A$27,cards!$H$2:$H$27),0),IF(IFERROR(_xludf.XLOOKUP(J6,cards!$A$2:$A$27,cards!$C$2:$C$27),"")="product",IFERROR(_xludf.XLOOKUP(J6,cards!$A$2:$A$27,cards!$H$2:$H$27),0),IF(IFERROR(_xludf.XLOOKUP(M6,cards!$A$2:$A$27,cards!$C$2:$C$27),"")="product",IFERROR(_xludf.XLOOKUP(M6,cards!$A$2:$A$27,cards!$H$2:$H$27),0),IF(IFERROR(_xludf.XLOOKUP(P6,cards!$A$2:$A$27,cards!$C$2:$C$27),"")="product",IFERROR(_xludf.XLOOKUP(P6,cards!$A$2:$A$27,cards!$H$2:$H$27),0),IF(IFERROR(_xludf.XLOOKUP(S6,cards!$A$2:$A$27,cards!$C$2:$C$27),"")="product",IFERROR(_xludf.XLOOKUP(S6,cards!$A$2:$A$27,cards!$H$2:$H$27),0),0)))))))</f>
        <v/>
      </c>
      <c r="G6" t="s">
        <v>49</v>
      </c>
      <c r="H6">
        <v>1</v>
      </c>
      <c r="I6" t="s">
        <v>198</v>
      </c>
      <c r="V6" t="s">
        <v>53</v>
      </c>
      <c r="W6">
        <v>1</v>
      </c>
      <c r="AG6" t="s">
        <v>46</v>
      </c>
    </row>
    <row r="7" spans="1:33" ht="15">
      <c r="A7" t="s">
        <v>210</v>
      </c>
      <c r="B7" s="2" t="s">
        <v>211</v>
      </c>
      <c r="C7" s="2" t="s">
        <v>126</v>
      </c>
      <c r="E7" t="s">
        <v>124</v>
      </c>
      <c r="F7" s="3" t="str">
        <f ca="1">IF(IFERROR(_xludf.XLOOKUP(V7,cards!$A$2:$A$27,cards!$L$2:$L$27),0)&lt;=0,"",IFERROR(_xludf.XLOOKUP(V7,cards!$A$2:$A$27,cards!$L$2:$L$27),0)/MAX(1,IF(IFERROR(_xludf.XLOOKUP(G7,cards!$A$2:$A$27,cards!$C$2:$C$27),"")="employee",IFERROR(_xludf.XLOOKUP(G7,cards!$A$2:$A$27,cards!$F$2:$F$27),0),IF(IFERROR(_xludf.XLOOKUP(J7,cards!$A$2:$A$27,cards!$C$2:$C$27),"")="employee",IFERROR(_xludf.XLOOKUP(J7,cards!$A$2:$A$27,cards!$F$2:$F$27),0),IF(IFERROR(_xludf.XLOOKUP(M7,cards!$A$2:$A$27,cards!$C$2:$C$27),"")="employee",IFERROR(_xludf.XLOOKUP(M7,cards!$A$2:$A$27,cards!$F$2:$F$27),0),IF(IFERROR(_xludf.XLOOKUP(P7,cards!$A$2:$A$27,cards!$C$2:$C$27),"")="employee",IFERROR(_xludf.XLOOKUP(P7,cards!$A$2:$A$27,cards!$F$2:$F$27),0),IF(IFERROR(_xludf.XLOOKUP(S7,cards!$A$2:$A$27,cards!$C$2:$C$27),"")="employee",IFERROR(_xludf.XLOOKUP(S7,cards!$A$2:$A$27,cards!$F$2:$F$27),0),0)))))+IF(IFERROR(_xludf.XLOOKUP(G7,cards!$A$2:$A$27,cards!$C$2:$C$27),"")="tool",IFERROR(_xludf.XLOOKUP(G7,cards!$A$2:$A$27,cards!$H$2:$H$27),0),IF(IFERROR(_xludf.XLOOKUP(J7,cards!$A$2:$A$27,cards!$C$2:$C$27),"")="tool",IFERROR(_xludf.XLOOKUP(J7,cards!$A$2:$A$27,cards!$H$2:$H$27),0),IF(IFERROR(_xludf.XLOOKUP(M7,cards!$A$2:$A$27,cards!$C$2:$C$27),"")="tool",IFERROR(_xludf.XLOOKUP(M7,cards!$A$2:$A$27,cards!$H$2:$H$27),0),IF(IFERROR(_xludf.XLOOKUP(P7,cards!$A$2:$A$27,cards!$C$2:$C$27),"")="tool",IFERROR(_xludf.XLOOKUP(P7,cards!$A$2:$A$27,cards!$H$2:$H$27),0),IF(IFERROR(_xludf.XLOOKUP(S7,cards!$A$2:$A$27,cards!$C$2:$C$27),"")="tool",IFERROR(_xludf.XLOOKUP(S7,cards!$A$2:$A$27,cards!$H$2:$H$27),0),0)))))+IF(IFERROR(_xludf.XLOOKUP(G7,cards!$A$2:$A$27,cards!$C$2:$C$27),"")="product",IFERROR(_xludf.XLOOKUP(G7,cards!$A$2:$A$27,cards!$H$2:$H$27),0),IF(IFERROR(_xludf.XLOOKUP(J7,cards!$A$2:$A$27,cards!$C$2:$C$27),"")="product",IFERROR(_xludf.XLOOKUP(J7,cards!$A$2:$A$27,cards!$H$2:$H$27),0),IF(IFERROR(_xludf.XLOOKUP(M7,cards!$A$2:$A$27,cards!$C$2:$C$27),"")="product",IFERROR(_xludf.XLOOKUP(M7,cards!$A$2:$A$27,cards!$H$2:$H$27),0),IF(IFERROR(_xludf.XLOOKUP(P7,cards!$A$2:$A$27,cards!$C$2:$C$27),"")="product",IFERROR(_xludf.XLOOKUP(P7,cards!$A$2:$A$27,cards!$H$2:$H$27),0),IF(IFERROR(_xludf.XLOOKUP(S7,cards!$A$2:$A$27,cards!$C$2:$C$27),"")="product",IFERROR(_xludf.XLOOKUP(S7,cards!$A$2:$A$27,cards!$H$2:$H$27),0),0)))))))</f>
        <v/>
      </c>
      <c r="G7" t="s">
        <v>54</v>
      </c>
      <c r="H7">
        <v>1</v>
      </c>
      <c r="I7" t="s">
        <v>198</v>
      </c>
      <c r="V7" t="s">
        <v>56</v>
      </c>
      <c r="W7">
        <v>1</v>
      </c>
      <c r="AG7" t="s">
        <v>46</v>
      </c>
    </row>
    <row r="8" spans="1:33" ht="15">
      <c r="A8" t="s">
        <v>212</v>
      </c>
      <c r="B8" s="2" t="s">
        <v>213</v>
      </c>
      <c r="C8" s="2" t="s">
        <v>214</v>
      </c>
      <c r="F8" s="3" t="str">
        <f ca="1">IF(IFERROR(_xludf.XLOOKUP(V8,cards!$A$2:$A$27,cards!$L$2:$L$27),0)&lt;=0,"",IFERROR(_xludf.XLOOKUP(V8,cards!$A$2:$A$27,cards!$L$2:$L$27),0)/MAX(1,IF(IFERROR(_xludf.XLOOKUP(G8,cards!$A$2:$A$27,cards!$C$2:$C$27),"")="employee",IFERROR(_xludf.XLOOKUP(G8,cards!$A$2:$A$27,cards!$F$2:$F$27),0),IF(IFERROR(_xludf.XLOOKUP(J8,cards!$A$2:$A$27,cards!$C$2:$C$27),"")="employee",IFERROR(_xludf.XLOOKUP(J8,cards!$A$2:$A$27,cards!$F$2:$F$27),0),IF(IFERROR(_xludf.XLOOKUP(M8,cards!$A$2:$A$27,cards!$C$2:$C$27),"")="employee",IFERROR(_xludf.XLOOKUP(M8,cards!$A$2:$A$27,cards!$F$2:$F$27),0),IF(IFERROR(_xludf.XLOOKUP(P8,cards!$A$2:$A$27,cards!$C$2:$C$27),"")="employee",IFERROR(_xludf.XLOOKUP(P8,cards!$A$2:$A$27,cards!$F$2:$F$27),0),IF(IFERROR(_xludf.XLOOKUP(S8,cards!$A$2:$A$27,cards!$C$2:$C$27),"")="employee",IFERROR(_xludf.XLOOKUP(S8,cards!$A$2:$A$27,cards!$F$2:$F$27),0),0)))))+IF(IFERROR(_xludf.XLOOKUP(G8,cards!$A$2:$A$27,cards!$C$2:$C$27),"")="tool",IFERROR(_xludf.XLOOKUP(G8,cards!$A$2:$A$27,cards!$H$2:$H$27),0),IF(IFERROR(_xludf.XLOOKUP(J8,cards!$A$2:$A$27,cards!$C$2:$C$27),"")="tool",IFERROR(_xludf.XLOOKUP(J8,cards!$A$2:$A$27,cards!$H$2:$H$27),0),IF(IFERROR(_xludf.XLOOKUP(M8,cards!$A$2:$A$27,cards!$C$2:$C$27),"")="tool",IFERROR(_xludf.XLOOKUP(M8,cards!$A$2:$A$27,cards!$H$2:$H$27),0),IF(IFERROR(_xludf.XLOOKUP(P8,cards!$A$2:$A$27,cards!$C$2:$C$27),"")="tool",IFERROR(_xludf.XLOOKUP(P8,cards!$A$2:$A$27,cards!$H$2:$H$27),0),IF(IFERROR(_xludf.XLOOKUP(S8,cards!$A$2:$A$27,cards!$C$2:$C$27),"")="tool",IFERROR(_xludf.XLOOKUP(S8,cards!$A$2:$A$27,cards!$H$2:$H$27),0),0)))))+IF(IFERROR(_xludf.XLOOKUP(G8,cards!$A$2:$A$27,cards!$C$2:$C$27),"")="product",IFERROR(_xludf.XLOOKUP(G8,cards!$A$2:$A$27,cards!$H$2:$H$27),0),IF(IFERROR(_xludf.XLOOKUP(J8,cards!$A$2:$A$27,cards!$C$2:$C$27),"")="product",IFERROR(_xludf.XLOOKUP(J8,cards!$A$2:$A$27,cards!$H$2:$H$27),0),IF(IFERROR(_xludf.XLOOKUP(M8,cards!$A$2:$A$27,cards!$C$2:$C$27),"")="product",IFERROR(_xludf.XLOOKUP(M8,cards!$A$2:$A$27,cards!$H$2:$H$27),0),IF(IFERROR(_xludf.XLOOKUP(P8,cards!$A$2:$A$27,cards!$C$2:$C$27),"")="product",IFERROR(_xludf.XLOOKUP(P8,cards!$A$2:$A$27,cards!$H$2:$H$27),0),IF(IFERROR(_xludf.XLOOKUP(S8,cards!$A$2:$A$27,cards!$C$2:$C$27),"")="product",IFERROR(_xludf.XLOOKUP(S8,cards!$A$2:$A$27,cards!$H$2:$H$27),0),0)))))))</f>
        <v/>
      </c>
      <c r="G8" t="s">
        <v>56</v>
      </c>
      <c r="H8">
        <v>1</v>
      </c>
      <c r="I8" t="s">
        <v>207</v>
      </c>
      <c r="J8" t="s">
        <v>55</v>
      </c>
      <c r="K8">
        <v>1</v>
      </c>
      <c r="L8" t="s">
        <v>207</v>
      </c>
      <c r="V8" t="s">
        <v>57</v>
      </c>
      <c r="W8">
        <v>1</v>
      </c>
      <c r="AG8" t="s">
        <v>46</v>
      </c>
    </row>
    <row r="9" spans="1:33" ht="15">
      <c r="A9" t="s">
        <v>215</v>
      </c>
      <c r="B9" s="2" t="s">
        <v>216</v>
      </c>
      <c r="C9" s="2" t="s">
        <v>217</v>
      </c>
      <c r="F9" s="3" t="str">
        <f ca="1">IF(IFERROR(_xludf.XLOOKUP(V9,cards!$A$2:$A$27,cards!$L$2:$L$27),0)&lt;=0,"",IFERROR(_xludf.XLOOKUP(V9,cards!$A$2:$A$27,cards!$L$2:$L$27),0)/MAX(1,IF(IFERROR(_xludf.XLOOKUP(G9,cards!$A$2:$A$27,cards!$C$2:$C$27),"")="employee",IFERROR(_xludf.XLOOKUP(G9,cards!$A$2:$A$27,cards!$F$2:$F$27),0),IF(IFERROR(_xludf.XLOOKUP(J9,cards!$A$2:$A$27,cards!$C$2:$C$27),"")="employee",IFERROR(_xludf.XLOOKUP(J9,cards!$A$2:$A$27,cards!$F$2:$F$27),0),IF(IFERROR(_xludf.XLOOKUP(M9,cards!$A$2:$A$27,cards!$C$2:$C$27),"")="employee",IFERROR(_xludf.XLOOKUP(M9,cards!$A$2:$A$27,cards!$F$2:$F$27),0),IF(IFERROR(_xludf.XLOOKUP(P9,cards!$A$2:$A$27,cards!$C$2:$C$27),"")="employee",IFERROR(_xludf.XLOOKUP(P9,cards!$A$2:$A$27,cards!$F$2:$F$27),0),IF(IFERROR(_xludf.XLOOKUP(S9,cards!$A$2:$A$27,cards!$C$2:$C$27),"")="employee",IFERROR(_xludf.XLOOKUP(S9,cards!$A$2:$A$27,cards!$F$2:$F$27),0),0)))))+IF(IFERROR(_xludf.XLOOKUP(G9,cards!$A$2:$A$27,cards!$C$2:$C$27),"")="tool",IFERROR(_xludf.XLOOKUP(G9,cards!$A$2:$A$27,cards!$H$2:$H$27),0),IF(IFERROR(_xludf.XLOOKUP(J9,cards!$A$2:$A$27,cards!$C$2:$C$27),"")="tool",IFERROR(_xludf.XLOOKUP(J9,cards!$A$2:$A$27,cards!$H$2:$H$27),0),IF(IFERROR(_xludf.XLOOKUP(M9,cards!$A$2:$A$27,cards!$C$2:$C$27),"")="tool",IFERROR(_xludf.XLOOKUP(M9,cards!$A$2:$A$27,cards!$H$2:$H$27),0),IF(IFERROR(_xludf.XLOOKUP(P9,cards!$A$2:$A$27,cards!$C$2:$C$27),"")="tool",IFERROR(_xludf.XLOOKUP(P9,cards!$A$2:$A$27,cards!$H$2:$H$27),0),IF(IFERROR(_xludf.XLOOKUP(S9,cards!$A$2:$A$27,cards!$C$2:$C$27),"")="tool",IFERROR(_xludf.XLOOKUP(S9,cards!$A$2:$A$27,cards!$H$2:$H$27),0),0)))))+IF(IFERROR(_xludf.XLOOKUP(G9,cards!$A$2:$A$27,cards!$C$2:$C$27),"")="product",IFERROR(_xludf.XLOOKUP(G9,cards!$A$2:$A$27,cards!$H$2:$H$27),0),IF(IFERROR(_xludf.XLOOKUP(J9,cards!$A$2:$A$27,cards!$C$2:$C$27),"")="product",IFERROR(_xludf.XLOOKUP(J9,cards!$A$2:$A$27,cards!$H$2:$H$27),0),IF(IFERROR(_xludf.XLOOKUP(M9,cards!$A$2:$A$27,cards!$C$2:$C$27),"")="product",IFERROR(_xludf.XLOOKUP(M9,cards!$A$2:$A$27,cards!$H$2:$H$27),0),IF(IFERROR(_xludf.XLOOKUP(P9,cards!$A$2:$A$27,cards!$C$2:$C$27),"")="product",IFERROR(_xludf.XLOOKUP(P9,cards!$A$2:$A$27,cards!$H$2:$H$27),0),IF(IFERROR(_xludf.XLOOKUP(S9,cards!$A$2:$A$27,cards!$C$2:$C$27),"")="product",IFERROR(_xludf.XLOOKUP(S9,cards!$A$2:$A$27,cards!$H$2:$H$27),0),0)))))))</f>
        <v/>
      </c>
      <c r="G9" t="s">
        <v>57</v>
      </c>
      <c r="H9">
        <v>1</v>
      </c>
      <c r="I9" t="s">
        <v>207</v>
      </c>
      <c r="J9" t="s">
        <v>52</v>
      </c>
      <c r="K9">
        <v>1</v>
      </c>
      <c r="L9" t="s">
        <v>207</v>
      </c>
      <c r="V9" t="s">
        <v>106</v>
      </c>
      <c r="W9">
        <v>6</v>
      </c>
      <c r="AG9" t="s">
        <v>46</v>
      </c>
    </row>
    <row r="10" spans="1:33" ht="15">
      <c r="A10" t="s">
        <v>218</v>
      </c>
      <c r="B10" s="2" t="s">
        <v>216</v>
      </c>
      <c r="C10" s="2" t="s">
        <v>219</v>
      </c>
      <c r="F10" s="3" t="str">
        <f ca="1">IF(IFERROR(_xludf.XLOOKUP(V10,cards!$A$2:$A$27,cards!$L$2:$L$27),0)&lt;=0,"",IFERROR(_xludf.XLOOKUP(V10,cards!$A$2:$A$27,cards!$L$2:$L$27),0)/MAX(1,IF(IFERROR(_xludf.XLOOKUP(G10,cards!$A$2:$A$27,cards!$C$2:$C$27),"")="employee",IFERROR(_xludf.XLOOKUP(G10,cards!$A$2:$A$27,cards!$F$2:$F$27),0),IF(IFERROR(_xludf.XLOOKUP(J10,cards!$A$2:$A$27,cards!$C$2:$C$27),"")="employee",IFERROR(_xludf.XLOOKUP(J10,cards!$A$2:$A$27,cards!$F$2:$F$27),0),IF(IFERROR(_xludf.XLOOKUP(M10,cards!$A$2:$A$27,cards!$C$2:$C$27),"")="employee",IFERROR(_xludf.XLOOKUP(M10,cards!$A$2:$A$27,cards!$F$2:$F$27),0),IF(IFERROR(_xludf.XLOOKUP(P10,cards!$A$2:$A$27,cards!$C$2:$C$27),"")="employee",IFERROR(_xludf.XLOOKUP(P10,cards!$A$2:$A$27,cards!$F$2:$F$27),0),IF(IFERROR(_xludf.XLOOKUP(S10,cards!$A$2:$A$27,cards!$C$2:$C$27),"")="employee",IFERROR(_xludf.XLOOKUP(S10,cards!$A$2:$A$27,cards!$F$2:$F$27),0),0)))))+IF(IFERROR(_xludf.XLOOKUP(G10,cards!$A$2:$A$27,cards!$C$2:$C$27),"")="tool",IFERROR(_xludf.XLOOKUP(G10,cards!$A$2:$A$27,cards!$H$2:$H$27),0),IF(IFERROR(_xludf.XLOOKUP(J10,cards!$A$2:$A$27,cards!$C$2:$C$27),"")="tool",IFERROR(_xludf.XLOOKUP(J10,cards!$A$2:$A$27,cards!$H$2:$H$27),0),IF(IFERROR(_xludf.XLOOKUP(M10,cards!$A$2:$A$27,cards!$C$2:$C$27),"")="tool",IFERROR(_xludf.XLOOKUP(M10,cards!$A$2:$A$27,cards!$H$2:$H$27),0),IF(IFERROR(_xludf.XLOOKUP(P10,cards!$A$2:$A$27,cards!$C$2:$C$27),"")="tool",IFERROR(_xludf.XLOOKUP(P10,cards!$A$2:$A$27,cards!$H$2:$H$27),0),IF(IFERROR(_xludf.XLOOKUP(S10,cards!$A$2:$A$27,cards!$C$2:$C$27),"")="tool",IFERROR(_xludf.XLOOKUP(S10,cards!$A$2:$A$27,cards!$H$2:$H$27),0),0)))))+IF(IFERROR(_xludf.XLOOKUP(G10,cards!$A$2:$A$27,cards!$C$2:$C$27),"")="product",IFERROR(_xludf.XLOOKUP(G10,cards!$A$2:$A$27,cards!$H$2:$H$27),0),IF(IFERROR(_xludf.XLOOKUP(J10,cards!$A$2:$A$27,cards!$C$2:$C$27),"")="product",IFERROR(_xludf.XLOOKUP(J10,cards!$A$2:$A$27,cards!$H$2:$H$27),0),IF(IFERROR(_xludf.XLOOKUP(M10,cards!$A$2:$A$27,cards!$C$2:$C$27),"")="product",IFERROR(_xludf.XLOOKUP(M10,cards!$A$2:$A$27,cards!$H$2:$H$27),0),IF(IFERROR(_xludf.XLOOKUP(P10,cards!$A$2:$A$27,cards!$C$2:$C$27),"")="product",IFERROR(_xludf.XLOOKUP(P10,cards!$A$2:$A$27,cards!$H$2:$H$27),0),IF(IFERROR(_xludf.XLOOKUP(S10,cards!$A$2:$A$27,cards!$C$2:$C$27),"")="product",IFERROR(_xludf.XLOOKUP(S10,cards!$A$2:$A$27,cards!$H$2:$H$27),0),0)))))))</f>
        <v/>
      </c>
      <c r="G10" t="s">
        <v>57</v>
      </c>
      <c r="H10">
        <v>1</v>
      </c>
      <c r="I10" t="s">
        <v>207</v>
      </c>
      <c r="J10" t="s">
        <v>50</v>
      </c>
      <c r="K10">
        <v>1</v>
      </c>
      <c r="L10" t="s">
        <v>207</v>
      </c>
      <c r="V10" t="s">
        <v>106</v>
      </c>
      <c r="W10">
        <v>5</v>
      </c>
      <c r="AG10" t="s">
        <v>46</v>
      </c>
    </row>
    <row r="11" spans="1:33" ht="15">
      <c r="A11" t="s">
        <v>220</v>
      </c>
      <c r="B11" s="2" t="s">
        <v>216</v>
      </c>
      <c r="C11" s="2" t="s">
        <v>221</v>
      </c>
      <c r="F11" s="3" t="str">
        <f ca="1">IF(IFERROR(_xludf.XLOOKUP(V11,cards!$A$2:$A$27,cards!$L$2:$L$27),0)&lt;=0,"",IFERROR(_xludf.XLOOKUP(V11,cards!$A$2:$A$27,cards!$L$2:$L$27),0)/MAX(1,IF(IFERROR(_xludf.XLOOKUP(G11,cards!$A$2:$A$27,cards!$C$2:$C$27),"")="employee",IFERROR(_xludf.XLOOKUP(G11,cards!$A$2:$A$27,cards!$F$2:$F$27),0),IF(IFERROR(_xludf.XLOOKUP(J11,cards!$A$2:$A$27,cards!$C$2:$C$27),"")="employee",IFERROR(_xludf.XLOOKUP(J11,cards!$A$2:$A$27,cards!$F$2:$F$27),0),IF(IFERROR(_xludf.XLOOKUP(M11,cards!$A$2:$A$27,cards!$C$2:$C$27),"")="employee",IFERROR(_xludf.XLOOKUP(M11,cards!$A$2:$A$27,cards!$F$2:$F$27),0),IF(IFERROR(_xludf.XLOOKUP(P11,cards!$A$2:$A$27,cards!$C$2:$C$27),"")="employee",IFERROR(_xludf.XLOOKUP(P11,cards!$A$2:$A$27,cards!$F$2:$F$27),0),IF(IFERROR(_xludf.XLOOKUP(S11,cards!$A$2:$A$27,cards!$C$2:$C$27),"")="employee",IFERROR(_xludf.XLOOKUP(S11,cards!$A$2:$A$27,cards!$F$2:$F$27),0),0)))))+IF(IFERROR(_xludf.XLOOKUP(G11,cards!$A$2:$A$27,cards!$C$2:$C$27),"")="tool",IFERROR(_xludf.XLOOKUP(G11,cards!$A$2:$A$27,cards!$H$2:$H$27),0),IF(IFERROR(_xludf.XLOOKUP(J11,cards!$A$2:$A$27,cards!$C$2:$C$27),"")="tool",IFERROR(_xludf.XLOOKUP(J11,cards!$A$2:$A$27,cards!$H$2:$H$27),0),IF(IFERROR(_xludf.XLOOKUP(M11,cards!$A$2:$A$27,cards!$C$2:$C$27),"")="tool",IFERROR(_xludf.XLOOKUP(M11,cards!$A$2:$A$27,cards!$H$2:$H$27),0),IF(IFERROR(_xludf.XLOOKUP(P11,cards!$A$2:$A$27,cards!$C$2:$C$27),"")="tool",IFERROR(_xludf.XLOOKUP(P11,cards!$A$2:$A$27,cards!$H$2:$H$27),0),IF(IFERROR(_xludf.XLOOKUP(S11,cards!$A$2:$A$27,cards!$C$2:$C$27),"")="tool",IFERROR(_xludf.XLOOKUP(S11,cards!$A$2:$A$27,cards!$H$2:$H$27),0),0)))))+IF(IFERROR(_xludf.XLOOKUP(G11,cards!$A$2:$A$27,cards!$C$2:$C$27),"")="product",IFERROR(_xludf.XLOOKUP(G11,cards!$A$2:$A$27,cards!$H$2:$H$27),0),IF(IFERROR(_xludf.XLOOKUP(J11,cards!$A$2:$A$27,cards!$C$2:$C$27),"")="product",IFERROR(_xludf.XLOOKUP(J11,cards!$A$2:$A$27,cards!$H$2:$H$27),0),IF(IFERROR(_xludf.XLOOKUP(M11,cards!$A$2:$A$27,cards!$C$2:$C$27),"")="product",IFERROR(_xludf.XLOOKUP(M11,cards!$A$2:$A$27,cards!$H$2:$H$27),0),IF(IFERROR(_xludf.XLOOKUP(P11,cards!$A$2:$A$27,cards!$C$2:$C$27),"")="product",IFERROR(_xludf.XLOOKUP(P11,cards!$A$2:$A$27,cards!$H$2:$H$27),0),IF(IFERROR(_xludf.XLOOKUP(S11,cards!$A$2:$A$27,cards!$C$2:$C$27),"")="product",IFERROR(_xludf.XLOOKUP(S11,cards!$A$2:$A$27,cards!$H$2:$H$27),0),0)))))))</f>
        <v/>
      </c>
      <c r="G11" t="s">
        <v>56</v>
      </c>
      <c r="H11">
        <v>1</v>
      </c>
      <c r="I11" t="s">
        <v>207</v>
      </c>
      <c r="J11" t="s">
        <v>52</v>
      </c>
      <c r="K11">
        <v>1</v>
      </c>
      <c r="L11" t="s">
        <v>207</v>
      </c>
      <c r="V11" t="s">
        <v>106</v>
      </c>
      <c r="W11">
        <v>5</v>
      </c>
      <c r="AG11" t="s">
        <v>46</v>
      </c>
    </row>
    <row r="12" spans="1:33" ht="15">
      <c r="A12" t="s">
        <v>222</v>
      </c>
      <c r="B12" s="2" t="s">
        <v>216</v>
      </c>
      <c r="C12" s="2" t="s">
        <v>223</v>
      </c>
      <c r="F12" s="3" t="str">
        <f ca="1">IF(IFERROR(_xludf.XLOOKUP(V12,cards!$A$2:$A$27,cards!$L$2:$L$27),0)&lt;=0,"",IFERROR(_xludf.XLOOKUP(V12,cards!$A$2:$A$27,cards!$L$2:$L$27),0)/MAX(1,IF(IFERROR(_xludf.XLOOKUP(G12,cards!$A$2:$A$27,cards!$C$2:$C$27),"")="employee",IFERROR(_xludf.XLOOKUP(G12,cards!$A$2:$A$27,cards!$F$2:$F$27),0),IF(IFERROR(_xludf.XLOOKUP(J12,cards!$A$2:$A$27,cards!$C$2:$C$27),"")="employee",IFERROR(_xludf.XLOOKUP(J12,cards!$A$2:$A$27,cards!$F$2:$F$27),0),IF(IFERROR(_xludf.XLOOKUP(M12,cards!$A$2:$A$27,cards!$C$2:$C$27),"")="employee",IFERROR(_xludf.XLOOKUP(M12,cards!$A$2:$A$27,cards!$F$2:$F$27),0),IF(IFERROR(_xludf.XLOOKUP(P12,cards!$A$2:$A$27,cards!$C$2:$C$27),"")="employee",IFERROR(_xludf.XLOOKUP(P12,cards!$A$2:$A$27,cards!$F$2:$F$27),0),IF(IFERROR(_xludf.XLOOKUP(S12,cards!$A$2:$A$27,cards!$C$2:$C$27),"")="employee",IFERROR(_xludf.XLOOKUP(S12,cards!$A$2:$A$27,cards!$F$2:$F$27),0),0)))))+IF(IFERROR(_xludf.XLOOKUP(G12,cards!$A$2:$A$27,cards!$C$2:$C$27),"")="tool",IFERROR(_xludf.XLOOKUP(G12,cards!$A$2:$A$27,cards!$H$2:$H$27),0),IF(IFERROR(_xludf.XLOOKUP(J12,cards!$A$2:$A$27,cards!$C$2:$C$27),"")="tool",IFERROR(_xludf.XLOOKUP(J12,cards!$A$2:$A$27,cards!$H$2:$H$27),0),IF(IFERROR(_xludf.XLOOKUP(M12,cards!$A$2:$A$27,cards!$C$2:$C$27),"")="tool",IFERROR(_xludf.XLOOKUP(M12,cards!$A$2:$A$27,cards!$H$2:$H$27),0),IF(IFERROR(_xludf.XLOOKUP(P12,cards!$A$2:$A$27,cards!$C$2:$C$27),"")="tool",IFERROR(_xludf.XLOOKUP(P12,cards!$A$2:$A$27,cards!$H$2:$H$27),0),IF(IFERROR(_xludf.XLOOKUP(S12,cards!$A$2:$A$27,cards!$C$2:$C$27),"")="tool",IFERROR(_xludf.XLOOKUP(S12,cards!$A$2:$A$27,cards!$H$2:$H$27),0),0)))))+IF(IFERROR(_xludf.XLOOKUP(G12,cards!$A$2:$A$27,cards!$C$2:$C$27),"")="product",IFERROR(_xludf.XLOOKUP(G12,cards!$A$2:$A$27,cards!$H$2:$H$27),0),IF(IFERROR(_xludf.XLOOKUP(J12,cards!$A$2:$A$27,cards!$C$2:$C$27),"")="product",IFERROR(_xludf.XLOOKUP(J12,cards!$A$2:$A$27,cards!$H$2:$H$27),0),IF(IFERROR(_xludf.XLOOKUP(M12,cards!$A$2:$A$27,cards!$C$2:$C$27),"")="product",IFERROR(_xludf.XLOOKUP(M12,cards!$A$2:$A$27,cards!$H$2:$H$27),0),IF(IFERROR(_xludf.XLOOKUP(P12,cards!$A$2:$A$27,cards!$C$2:$C$27),"")="product",IFERROR(_xludf.XLOOKUP(P12,cards!$A$2:$A$27,cards!$H$2:$H$27),0),IF(IFERROR(_xludf.XLOOKUP(S12,cards!$A$2:$A$27,cards!$C$2:$C$27),"")="product",IFERROR(_xludf.XLOOKUP(S12,cards!$A$2:$A$27,cards!$H$2:$H$27),0),0)))))))</f>
        <v/>
      </c>
      <c r="G12" t="s">
        <v>56</v>
      </c>
      <c r="H12">
        <v>1</v>
      </c>
      <c r="I12" t="s">
        <v>207</v>
      </c>
      <c r="J12" t="s">
        <v>50</v>
      </c>
      <c r="K12">
        <v>1</v>
      </c>
      <c r="L12" t="s">
        <v>207</v>
      </c>
      <c r="V12" t="s">
        <v>106</v>
      </c>
      <c r="W12">
        <v>3</v>
      </c>
      <c r="AG12" t="s">
        <v>46</v>
      </c>
    </row>
    <row r="13" spans="1:33" ht="15">
      <c r="A13" t="s">
        <v>224</v>
      </c>
      <c r="B13" s="2" t="s">
        <v>225</v>
      </c>
      <c r="C13" s="2" t="s">
        <v>226</v>
      </c>
      <c r="E13" t="s">
        <v>124</v>
      </c>
      <c r="F13" s="3" t="str">
        <f ca="1">IF(IFERROR(_xludf.XLOOKUP(V13,cards!$A$2:$A$27,cards!$L$2:$L$27),0)&lt;=0,"",IFERROR(_xludf.XLOOKUP(V13,cards!$A$2:$A$27,cards!$L$2:$L$27),0)/MAX(1,IF(IFERROR(_xludf.XLOOKUP(G13,cards!$A$2:$A$27,cards!$C$2:$C$27),"")="employee",IFERROR(_xludf.XLOOKUP(G13,cards!$A$2:$A$27,cards!$F$2:$F$27),0),IF(IFERROR(_xludf.XLOOKUP(J13,cards!$A$2:$A$27,cards!$C$2:$C$27),"")="employee",IFERROR(_xludf.XLOOKUP(J13,cards!$A$2:$A$27,cards!$F$2:$F$27),0),IF(IFERROR(_xludf.XLOOKUP(M13,cards!$A$2:$A$27,cards!$C$2:$C$27),"")="employee",IFERROR(_xludf.XLOOKUP(M13,cards!$A$2:$A$27,cards!$F$2:$F$27),0),IF(IFERROR(_xludf.XLOOKUP(P13,cards!$A$2:$A$27,cards!$C$2:$C$27),"")="employee",IFERROR(_xludf.XLOOKUP(P13,cards!$A$2:$A$27,cards!$F$2:$F$27),0),IF(IFERROR(_xludf.XLOOKUP(S13,cards!$A$2:$A$27,cards!$C$2:$C$27),"")="employee",IFERROR(_xludf.XLOOKUP(S13,cards!$A$2:$A$27,cards!$F$2:$F$27),0),0)))))+IF(IFERROR(_xludf.XLOOKUP(G13,cards!$A$2:$A$27,cards!$C$2:$C$27),"")="tool",IFERROR(_xludf.XLOOKUP(G13,cards!$A$2:$A$27,cards!$H$2:$H$27),0),IF(IFERROR(_xludf.XLOOKUP(J13,cards!$A$2:$A$27,cards!$C$2:$C$27),"")="tool",IFERROR(_xludf.XLOOKUP(J13,cards!$A$2:$A$27,cards!$H$2:$H$27),0),IF(IFERROR(_xludf.XLOOKUP(M13,cards!$A$2:$A$27,cards!$C$2:$C$27),"")="tool",IFERROR(_xludf.XLOOKUP(M13,cards!$A$2:$A$27,cards!$H$2:$H$27),0),IF(IFERROR(_xludf.XLOOKUP(P13,cards!$A$2:$A$27,cards!$C$2:$C$27),"")="tool",IFERROR(_xludf.XLOOKUP(P13,cards!$A$2:$A$27,cards!$H$2:$H$27),0),IF(IFERROR(_xludf.XLOOKUP(S13,cards!$A$2:$A$27,cards!$C$2:$C$27),"")="tool",IFERROR(_xludf.XLOOKUP(S13,cards!$A$2:$A$27,cards!$H$2:$H$27),0),0)))))+IF(IFERROR(_xludf.XLOOKUP(G13,cards!$A$2:$A$27,cards!$C$2:$C$27),"")="product",IFERROR(_xludf.XLOOKUP(G13,cards!$A$2:$A$27,cards!$H$2:$H$27),0),IF(IFERROR(_xludf.XLOOKUP(J13,cards!$A$2:$A$27,cards!$C$2:$C$27),"")="product",IFERROR(_xludf.XLOOKUP(J13,cards!$A$2:$A$27,cards!$H$2:$H$27),0),IF(IFERROR(_xludf.XLOOKUP(M13,cards!$A$2:$A$27,cards!$C$2:$C$27),"")="product",IFERROR(_xludf.XLOOKUP(M13,cards!$A$2:$A$27,cards!$H$2:$H$27),0),IF(IFERROR(_xludf.XLOOKUP(P13,cards!$A$2:$A$27,cards!$C$2:$C$27),"")="product",IFERROR(_xludf.XLOOKUP(P13,cards!$A$2:$A$27,cards!$H$2:$H$27),0),IF(IFERROR(_xludf.XLOOKUP(S13,cards!$A$2:$A$27,cards!$C$2:$C$27),"")="product",IFERROR(_xludf.XLOOKUP(S13,cards!$A$2:$A$27,cards!$H$2:$H$27),0),0)))))))</f>
        <v/>
      </c>
      <c r="G13" t="s">
        <v>58</v>
      </c>
      <c r="H13">
        <v>1</v>
      </c>
      <c r="I13" t="s">
        <v>198</v>
      </c>
      <c r="V13" t="s">
        <v>67</v>
      </c>
      <c r="W13">
        <v>1</v>
      </c>
      <c r="AG13" t="s">
        <v>60</v>
      </c>
    </row>
    <row r="14" spans="1:33" ht="15">
      <c r="A14" t="s">
        <v>227</v>
      </c>
      <c r="B14" s="2" t="s">
        <v>228</v>
      </c>
      <c r="C14" s="2" t="s">
        <v>229</v>
      </c>
      <c r="F14" s="3" t="str">
        <f ca="1">IF(IFERROR(_xludf.XLOOKUP(V14,cards!$A$2:$A$27,cards!$L$2:$L$27),0)&lt;=0,"",IFERROR(_xludf.XLOOKUP(V14,cards!$A$2:$A$27,cards!$L$2:$L$27),0)/MAX(1,IF(IFERROR(_xludf.XLOOKUP(G14,cards!$A$2:$A$27,cards!$C$2:$C$27),"")="employee",IFERROR(_xludf.XLOOKUP(G14,cards!$A$2:$A$27,cards!$F$2:$F$27),0),IF(IFERROR(_xludf.XLOOKUP(J14,cards!$A$2:$A$27,cards!$C$2:$C$27),"")="employee",IFERROR(_xludf.XLOOKUP(J14,cards!$A$2:$A$27,cards!$F$2:$F$27),0),IF(IFERROR(_xludf.XLOOKUP(M14,cards!$A$2:$A$27,cards!$C$2:$C$27),"")="employee",IFERROR(_xludf.XLOOKUP(M14,cards!$A$2:$A$27,cards!$F$2:$F$27),0),IF(IFERROR(_xludf.XLOOKUP(P14,cards!$A$2:$A$27,cards!$C$2:$C$27),"")="employee",IFERROR(_xludf.XLOOKUP(P14,cards!$A$2:$A$27,cards!$F$2:$F$27),0),IF(IFERROR(_xludf.XLOOKUP(S14,cards!$A$2:$A$27,cards!$C$2:$C$27),"")="employee",IFERROR(_xludf.XLOOKUP(S14,cards!$A$2:$A$27,cards!$F$2:$F$27),0),0)))))+IF(IFERROR(_xludf.XLOOKUP(G14,cards!$A$2:$A$27,cards!$C$2:$C$27),"")="tool",IFERROR(_xludf.XLOOKUP(G14,cards!$A$2:$A$27,cards!$H$2:$H$27),0),IF(IFERROR(_xludf.XLOOKUP(J14,cards!$A$2:$A$27,cards!$C$2:$C$27),"")="tool",IFERROR(_xludf.XLOOKUP(J14,cards!$A$2:$A$27,cards!$H$2:$H$27),0),IF(IFERROR(_xludf.XLOOKUP(M14,cards!$A$2:$A$27,cards!$C$2:$C$27),"")="tool",IFERROR(_xludf.XLOOKUP(M14,cards!$A$2:$A$27,cards!$H$2:$H$27),0),IF(IFERROR(_xludf.XLOOKUP(P14,cards!$A$2:$A$27,cards!$C$2:$C$27),"")="tool",IFERROR(_xludf.XLOOKUP(P14,cards!$A$2:$A$27,cards!$H$2:$H$27),0),IF(IFERROR(_xludf.XLOOKUP(S14,cards!$A$2:$A$27,cards!$C$2:$C$27),"")="tool",IFERROR(_xludf.XLOOKUP(S14,cards!$A$2:$A$27,cards!$H$2:$H$27),0),0)))))+IF(IFERROR(_xludf.XLOOKUP(G14,cards!$A$2:$A$27,cards!$C$2:$C$27),"")="product",IFERROR(_xludf.XLOOKUP(G14,cards!$A$2:$A$27,cards!$H$2:$H$27),0),IF(IFERROR(_xludf.XLOOKUP(J14,cards!$A$2:$A$27,cards!$C$2:$C$27),"")="product",IFERROR(_xludf.XLOOKUP(J14,cards!$A$2:$A$27,cards!$H$2:$H$27),0),IF(IFERROR(_xludf.XLOOKUP(M14,cards!$A$2:$A$27,cards!$C$2:$C$27),"")="product",IFERROR(_xludf.XLOOKUP(M14,cards!$A$2:$A$27,cards!$H$2:$H$27),0),IF(IFERROR(_xludf.XLOOKUP(P14,cards!$A$2:$A$27,cards!$C$2:$C$27),"")="product",IFERROR(_xludf.XLOOKUP(P14,cards!$A$2:$A$27,cards!$H$2:$H$27),0),IF(IFERROR(_xludf.XLOOKUP(S14,cards!$A$2:$A$27,cards!$C$2:$C$27),"")="product",IFERROR(_xludf.XLOOKUP(S14,cards!$A$2:$A$27,cards!$H$2:$H$27),0),0)))))))</f>
        <v/>
      </c>
      <c r="G14" t="s">
        <v>63</v>
      </c>
      <c r="H14">
        <v>1</v>
      </c>
      <c r="I14" t="s">
        <v>207</v>
      </c>
      <c r="J14" t="s">
        <v>53</v>
      </c>
      <c r="K14">
        <v>1</v>
      </c>
      <c r="L14" t="s">
        <v>207</v>
      </c>
      <c r="V14" t="s">
        <v>64</v>
      </c>
      <c r="W14">
        <v>1</v>
      </c>
      <c r="AG14" t="s">
        <v>60</v>
      </c>
    </row>
    <row r="15" spans="1:33" ht="15">
      <c r="A15" t="s">
        <v>230</v>
      </c>
      <c r="B15" s="2" t="s">
        <v>231</v>
      </c>
      <c r="C15" s="2" t="s">
        <v>232</v>
      </c>
      <c r="F15" s="3" t="str">
        <f ca="1">IF(IFERROR(_xludf.XLOOKUP(V15,cards!$A$2:$A$27,cards!$L$2:$L$27),0)&lt;=0,"",IFERROR(_xludf.XLOOKUP(V15,cards!$A$2:$A$27,cards!$L$2:$L$27),0)/MAX(1,IF(IFERROR(_xludf.XLOOKUP(G15,cards!$A$2:$A$27,cards!$C$2:$C$27),"")="employee",IFERROR(_xludf.XLOOKUP(G15,cards!$A$2:$A$27,cards!$F$2:$F$27),0),IF(IFERROR(_xludf.XLOOKUP(J15,cards!$A$2:$A$27,cards!$C$2:$C$27),"")="employee",IFERROR(_xludf.XLOOKUP(J15,cards!$A$2:$A$27,cards!$F$2:$F$27),0),IF(IFERROR(_xludf.XLOOKUP(M15,cards!$A$2:$A$27,cards!$C$2:$C$27),"")="employee",IFERROR(_xludf.XLOOKUP(M15,cards!$A$2:$A$27,cards!$F$2:$F$27),0),IF(IFERROR(_xludf.XLOOKUP(P15,cards!$A$2:$A$27,cards!$C$2:$C$27),"")="employee",IFERROR(_xludf.XLOOKUP(P15,cards!$A$2:$A$27,cards!$F$2:$F$27),0),IF(IFERROR(_xludf.XLOOKUP(S15,cards!$A$2:$A$27,cards!$C$2:$C$27),"")="employee",IFERROR(_xludf.XLOOKUP(S15,cards!$A$2:$A$27,cards!$F$2:$F$27),0),0)))))+IF(IFERROR(_xludf.XLOOKUP(G15,cards!$A$2:$A$27,cards!$C$2:$C$27),"")="tool",IFERROR(_xludf.XLOOKUP(G15,cards!$A$2:$A$27,cards!$H$2:$H$27),0),IF(IFERROR(_xludf.XLOOKUP(J15,cards!$A$2:$A$27,cards!$C$2:$C$27),"")="tool",IFERROR(_xludf.XLOOKUP(J15,cards!$A$2:$A$27,cards!$H$2:$H$27),0),IF(IFERROR(_xludf.XLOOKUP(M15,cards!$A$2:$A$27,cards!$C$2:$C$27),"")="tool",IFERROR(_xludf.XLOOKUP(M15,cards!$A$2:$A$27,cards!$H$2:$H$27),0),IF(IFERROR(_xludf.XLOOKUP(P15,cards!$A$2:$A$27,cards!$C$2:$C$27),"")="tool",IFERROR(_xludf.XLOOKUP(P15,cards!$A$2:$A$27,cards!$H$2:$H$27),0),IF(IFERROR(_xludf.XLOOKUP(S15,cards!$A$2:$A$27,cards!$C$2:$C$27),"")="tool",IFERROR(_xludf.XLOOKUP(S15,cards!$A$2:$A$27,cards!$H$2:$H$27),0),0)))))+IF(IFERROR(_xludf.XLOOKUP(G15,cards!$A$2:$A$27,cards!$C$2:$C$27),"")="product",IFERROR(_xludf.XLOOKUP(G15,cards!$A$2:$A$27,cards!$H$2:$H$27),0),IF(IFERROR(_xludf.XLOOKUP(J15,cards!$A$2:$A$27,cards!$C$2:$C$27),"")="product",IFERROR(_xludf.XLOOKUP(J15,cards!$A$2:$A$27,cards!$H$2:$H$27),0),IF(IFERROR(_xludf.XLOOKUP(M15,cards!$A$2:$A$27,cards!$C$2:$C$27),"")="product",IFERROR(_xludf.XLOOKUP(M15,cards!$A$2:$A$27,cards!$H$2:$H$27),0),IF(IFERROR(_xludf.XLOOKUP(P15,cards!$A$2:$A$27,cards!$C$2:$C$27),"")="product",IFERROR(_xludf.XLOOKUP(P15,cards!$A$2:$A$27,cards!$H$2:$H$27),0),IF(IFERROR(_xludf.XLOOKUP(S15,cards!$A$2:$A$27,cards!$C$2:$C$27),"")="product",IFERROR(_xludf.XLOOKUP(S15,cards!$A$2:$A$27,cards!$H$2:$H$27),0),0)))))))</f>
        <v/>
      </c>
      <c r="G15" t="s">
        <v>67</v>
      </c>
      <c r="H15">
        <v>1</v>
      </c>
      <c r="I15" t="s">
        <v>207</v>
      </c>
      <c r="J15" t="s">
        <v>51</v>
      </c>
      <c r="K15">
        <v>1</v>
      </c>
      <c r="L15" t="s">
        <v>207</v>
      </c>
      <c r="V15" t="s">
        <v>68</v>
      </c>
      <c r="W15">
        <v>1</v>
      </c>
      <c r="AG15" t="s">
        <v>60</v>
      </c>
    </row>
    <row r="16" spans="1:33" ht="15">
      <c r="A16" t="s">
        <v>233</v>
      </c>
      <c r="B16" s="2" t="s">
        <v>234</v>
      </c>
      <c r="C16" s="2" t="s">
        <v>235</v>
      </c>
      <c r="F16" s="3" t="str">
        <f ca="1">IF(IFERROR(_xludf.XLOOKUP(V16,cards!$A$2:$A$27,cards!$L$2:$L$27),0)&lt;=0,"",IFERROR(_xludf.XLOOKUP(V16,cards!$A$2:$A$27,cards!$L$2:$L$27),0)/MAX(1,IF(IFERROR(_xludf.XLOOKUP(G16,cards!$A$2:$A$27,cards!$C$2:$C$27),"")="employee",IFERROR(_xludf.XLOOKUP(G16,cards!$A$2:$A$27,cards!$F$2:$F$27),0),IF(IFERROR(_xludf.XLOOKUP(J16,cards!$A$2:$A$27,cards!$C$2:$C$27),"")="employee",IFERROR(_xludf.XLOOKUP(J16,cards!$A$2:$A$27,cards!$F$2:$F$27),0),IF(IFERROR(_xludf.XLOOKUP(M16,cards!$A$2:$A$27,cards!$C$2:$C$27),"")="employee",IFERROR(_xludf.XLOOKUP(M16,cards!$A$2:$A$27,cards!$F$2:$F$27),0),IF(IFERROR(_xludf.XLOOKUP(P16,cards!$A$2:$A$27,cards!$C$2:$C$27),"")="employee",IFERROR(_xludf.XLOOKUP(P16,cards!$A$2:$A$27,cards!$F$2:$F$27),0),IF(IFERROR(_xludf.XLOOKUP(S16,cards!$A$2:$A$27,cards!$C$2:$C$27),"")="employee",IFERROR(_xludf.XLOOKUP(S16,cards!$A$2:$A$27,cards!$F$2:$F$27),0),0)))))+IF(IFERROR(_xludf.XLOOKUP(G16,cards!$A$2:$A$27,cards!$C$2:$C$27),"")="tool",IFERROR(_xludf.XLOOKUP(G16,cards!$A$2:$A$27,cards!$H$2:$H$27),0),IF(IFERROR(_xludf.XLOOKUP(J16,cards!$A$2:$A$27,cards!$C$2:$C$27),"")="tool",IFERROR(_xludf.XLOOKUP(J16,cards!$A$2:$A$27,cards!$H$2:$H$27),0),IF(IFERROR(_xludf.XLOOKUP(M16,cards!$A$2:$A$27,cards!$C$2:$C$27),"")="tool",IFERROR(_xludf.XLOOKUP(M16,cards!$A$2:$A$27,cards!$H$2:$H$27),0),IF(IFERROR(_xludf.XLOOKUP(P16,cards!$A$2:$A$27,cards!$C$2:$C$27),"")="tool",IFERROR(_xludf.XLOOKUP(P16,cards!$A$2:$A$27,cards!$H$2:$H$27),0),IF(IFERROR(_xludf.XLOOKUP(S16,cards!$A$2:$A$27,cards!$C$2:$C$27),"")="tool",IFERROR(_xludf.XLOOKUP(S16,cards!$A$2:$A$27,cards!$H$2:$H$27),0),0)))))+IF(IFERROR(_xludf.XLOOKUP(G16,cards!$A$2:$A$27,cards!$C$2:$C$27),"")="product",IFERROR(_xludf.XLOOKUP(G16,cards!$A$2:$A$27,cards!$H$2:$H$27),0),IF(IFERROR(_xludf.XLOOKUP(J16,cards!$A$2:$A$27,cards!$C$2:$C$27),"")="product",IFERROR(_xludf.XLOOKUP(J16,cards!$A$2:$A$27,cards!$H$2:$H$27),0),IF(IFERROR(_xludf.XLOOKUP(M16,cards!$A$2:$A$27,cards!$C$2:$C$27),"")="product",IFERROR(_xludf.XLOOKUP(M16,cards!$A$2:$A$27,cards!$H$2:$H$27),0),IF(IFERROR(_xludf.XLOOKUP(P16,cards!$A$2:$A$27,cards!$C$2:$C$27),"")="product",IFERROR(_xludf.XLOOKUP(P16,cards!$A$2:$A$27,cards!$H$2:$H$27),0),IF(IFERROR(_xludf.XLOOKUP(S16,cards!$A$2:$A$27,cards!$C$2:$C$27),"")="product",IFERROR(_xludf.XLOOKUP(S16,cards!$A$2:$A$27,cards!$H$2:$H$27),0),0)))))))</f>
        <v/>
      </c>
      <c r="G16" t="s">
        <v>67</v>
      </c>
      <c r="H16">
        <v>1</v>
      </c>
      <c r="I16" t="s">
        <v>207</v>
      </c>
      <c r="J16" t="s">
        <v>55</v>
      </c>
      <c r="K16">
        <v>1</v>
      </c>
      <c r="L16" t="s">
        <v>207</v>
      </c>
      <c r="V16" t="s">
        <v>69</v>
      </c>
      <c r="W16">
        <v>1</v>
      </c>
      <c r="AG16" t="s">
        <v>60</v>
      </c>
    </row>
    <row r="17" spans="1:33" ht="15">
      <c r="A17" t="s">
        <v>236</v>
      </c>
      <c r="B17" s="2" t="s">
        <v>237</v>
      </c>
      <c r="C17" s="2" t="s">
        <v>238</v>
      </c>
      <c r="F17" s="3" t="str">
        <f ca="1">IF(IFERROR(_xludf.XLOOKUP(V17,cards!$A$2:$A$27,cards!$L$2:$L$27),0)&lt;=0,"",IFERROR(_xludf.XLOOKUP(V17,cards!$A$2:$A$27,cards!$L$2:$L$27),0)/MAX(1,IF(IFERROR(_xludf.XLOOKUP(G17,cards!$A$2:$A$27,cards!$C$2:$C$27),"")="employee",IFERROR(_xludf.XLOOKUP(G17,cards!$A$2:$A$27,cards!$F$2:$F$27),0),IF(IFERROR(_xludf.XLOOKUP(J17,cards!$A$2:$A$27,cards!$C$2:$C$27),"")="employee",IFERROR(_xludf.XLOOKUP(J17,cards!$A$2:$A$27,cards!$F$2:$F$27),0),IF(IFERROR(_xludf.XLOOKUP(M17,cards!$A$2:$A$27,cards!$C$2:$C$27),"")="employee",IFERROR(_xludf.XLOOKUP(M17,cards!$A$2:$A$27,cards!$F$2:$F$27),0),IF(IFERROR(_xludf.XLOOKUP(P17,cards!$A$2:$A$27,cards!$C$2:$C$27),"")="employee",IFERROR(_xludf.XLOOKUP(P17,cards!$A$2:$A$27,cards!$F$2:$F$27),0),IF(IFERROR(_xludf.XLOOKUP(S17,cards!$A$2:$A$27,cards!$C$2:$C$27),"")="employee",IFERROR(_xludf.XLOOKUP(S17,cards!$A$2:$A$27,cards!$F$2:$F$27),0),0)))))+IF(IFERROR(_xludf.XLOOKUP(G17,cards!$A$2:$A$27,cards!$C$2:$C$27),"")="tool",IFERROR(_xludf.XLOOKUP(G17,cards!$A$2:$A$27,cards!$H$2:$H$27),0),IF(IFERROR(_xludf.XLOOKUP(J17,cards!$A$2:$A$27,cards!$C$2:$C$27),"")="tool",IFERROR(_xludf.XLOOKUP(J17,cards!$A$2:$A$27,cards!$H$2:$H$27),0),IF(IFERROR(_xludf.XLOOKUP(M17,cards!$A$2:$A$27,cards!$C$2:$C$27),"")="tool",IFERROR(_xludf.XLOOKUP(M17,cards!$A$2:$A$27,cards!$H$2:$H$27),0),IF(IFERROR(_xludf.XLOOKUP(P17,cards!$A$2:$A$27,cards!$C$2:$C$27),"")="tool",IFERROR(_xludf.XLOOKUP(P17,cards!$A$2:$A$27,cards!$H$2:$H$27),0),IF(IFERROR(_xludf.XLOOKUP(S17,cards!$A$2:$A$27,cards!$C$2:$C$27),"")="tool",IFERROR(_xludf.XLOOKUP(S17,cards!$A$2:$A$27,cards!$H$2:$H$27),0),0)))))+IF(IFERROR(_xludf.XLOOKUP(G17,cards!$A$2:$A$27,cards!$C$2:$C$27),"")="product",IFERROR(_xludf.XLOOKUP(G17,cards!$A$2:$A$27,cards!$H$2:$H$27),0),IF(IFERROR(_xludf.XLOOKUP(J17,cards!$A$2:$A$27,cards!$C$2:$C$27),"")="product",IFERROR(_xludf.XLOOKUP(J17,cards!$A$2:$A$27,cards!$H$2:$H$27),0),IF(IFERROR(_xludf.XLOOKUP(M17,cards!$A$2:$A$27,cards!$C$2:$C$27),"")="product",IFERROR(_xludf.XLOOKUP(M17,cards!$A$2:$A$27,cards!$H$2:$H$27),0),IF(IFERROR(_xludf.XLOOKUP(P17,cards!$A$2:$A$27,cards!$C$2:$C$27),"")="product",IFERROR(_xludf.XLOOKUP(P17,cards!$A$2:$A$27,cards!$H$2:$H$27),0),IF(IFERROR(_xludf.XLOOKUP(S17,cards!$A$2:$A$27,cards!$C$2:$C$27),"")="product",IFERROR(_xludf.XLOOKUP(S17,cards!$A$2:$A$27,cards!$H$2:$H$27),0),0)))))))</f>
        <v/>
      </c>
      <c r="G17" t="s">
        <v>67</v>
      </c>
      <c r="H17">
        <v>1</v>
      </c>
      <c r="I17" t="s">
        <v>207</v>
      </c>
      <c r="J17" t="s">
        <v>65</v>
      </c>
      <c r="K17">
        <v>1</v>
      </c>
      <c r="L17" t="s">
        <v>207</v>
      </c>
      <c r="V17" t="s">
        <v>70</v>
      </c>
      <c r="W17">
        <v>1</v>
      </c>
      <c r="AG17" t="s">
        <v>60</v>
      </c>
    </row>
    <row r="18" spans="1:33" ht="15">
      <c r="A18" t="s">
        <v>239</v>
      </c>
      <c r="B18" s="2" t="s">
        <v>240</v>
      </c>
      <c r="C18" s="2" t="s">
        <v>241</v>
      </c>
      <c r="F18" s="3" t="str">
        <f ca="1">IF(IFERROR(_xludf.XLOOKUP(V18,cards!$A$2:$A$27,cards!$L$2:$L$27),0)&lt;=0,"",IFERROR(_xludf.XLOOKUP(V18,cards!$A$2:$A$27,cards!$L$2:$L$27),0)/MAX(1,IF(IFERROR(_xludf.XLOOKUP(G18,cards!$A$2:$A$27,cards!$C$2:$C$27),"")="employee",IFERROR(_xludf.XLOOKUP(G18,cards!$A$2:$A$27,cards!$F$2:$F$27),0),IF(IFERROR(_xludf.XLOOKUP(J18,cards!$A$2:$A$27,cards!$C$2:$C$27),"")="employee",IFERROR(_xludf.XLOOKUP(J18,cards!$A$2:$A$27,cards!$F$2:$F$27),0),IF(IFERROR(_xludf.XLOOKUP(M18,cards!$A$2:$A$27,cards!$C$2:$C$27),"")="employee",IFERROR(_xludf.XLOOKUP(M18,cards!$A$2:$A$27,cards!$F$2:$F$27),0),IF(IFERROR(_xludf.XLOOKUP(P18,cards!$A$2:$A$27,cards!$C$2:$C$27),"")="employee",IFERROR(_xludf.XLOOKUP(P18,cards!$A$2:$A$27,cards!$F$2:$F$27),0),IF(IFERROR(_xludf.XLOOKUP(S18,cards!$A$2:$A$27,cards!$C$2:$C$27),"")="employee",IFERROR(_xludf.XLOOKUP(S18,cards!$A$2:$A$27,cards!$F$2:$F$27),0),0)))))+IF(IFERROR(_xludf.XLOOKUP(G18,cards!$A$2:$A$27,cards!$C$2:$C$27),"")="tool",IFERROR(_xludf.XLOOKUP(G18,cards!$A$2:$A$27,cards!$H$2:$H$27),0),IF(IFERROR(_xludf.XLOOKUP(J18,cards!$A$2:$A$27,cards!$C$2:$C$27),"")="tool",IFERROR(_xludf.XLOOKUP(J18,cards!$A$2:$A$27,cards!$H$2:$H$27),0),IF(IFERROR(_xludf.XLOOKUP(M18,cards!$A$2:$A$27,cards!$C$2:$C$27),"")="tool",IFERROR(_xludf.XLOOKUP(M18,cards!$A$2:$A$27,cards!$H$2:$H$27),0),IF(IFERROR(_xludf.XLOOKUP(P18,cards!$A$2:$A$27,cards!$C$2:$C$27),"")="tool",IFERROR(_xludf.XLOOKUP(P18,cards!$A$2:$A$27,cards!$H$2:$H$27),0),IF(IFERROR(_xludf.XLOOKUP(S18,cards!$A$2:$A$27,cards!$C$2:$C$27),"")="tool",IFERROR(_xludf.XLOOKUP(S18,cards!$A$2:$A$27,cards!$H$2:$H$27),0),0)))))+IF(IFERROR(_xludf.XLOOKUP(G18,cards!$A$2:$A$27,cards!$C$2:$C$27),"")="product",IFERROR(_xludf.XLOOKUP(G18,cards!$A$2:$A$27,cards!$H$2:$H$27),0),IF(IFERROR(_xludf.XLOOKUP(J18,cards!$A$2:$A$27,cards!$C$2:$C$27),"")="product",IFERROR(_xludf.XLOOKUP(J18,cards!$A$2:$A$27,cards!$H$2:$H$27),0),IF(IFERROR(_xludf.XLOOKUP(M18,cards!$A$2:$A$27,cards!$C$2:$C$27),"")="product",IFERROR(_xludf.XLOOKUP(M18,cards!$A$2:$A$27,cards!$H$2:$H$27),0),IF(IFERROR(_xludf.XLOOKUP(P18,cards!$A$2:$A$27,cards!$C$2:$C$27),"")="product",IFERROR(_xludf.XLOOKUP(P18,cards!$A$2:$A$27,cards!$H$2:$H$27),0),IF(IFERROR(_xludf.XLOOKUP(S18,cards!$A$2:$A$27,cards!$C$2:$C$27),"")="product",IFERROR(_xludf.XLOOKUP(S18,cards!$A$2:$A$27,cards!$H$2:$H$27),0),0)))))))</f>
        <v/>
      </c>
      <c r="G18" t="s">
        <v>64</v>
      </c>
      <c r="H18">
        <v>1</v>
      </c>
      <c r="I18" t="s">
        <v>207</v>
      </c>
      <c r="J18" t="s">
        <v>68</v>
      </c>
      <c r="K18">
        <v>1</v>
      </c>
      <c r="L18" t="s">
        <v>207</v>
      </c>
      <c r="V18" t="s">
        <v>71</v>
      </c>
      <c r="W18">
        <v>1</v>
      </c>
      <c r="AG18" t="s">
        <v>60</v>
      </c>
    </row>
    <row r="19" spans="1:33" ht="15">
      <c r="A19" t="s">
        <v>242</v>
      </c>
      <c r="B19" s="2" t="s">
        <v>243</v>
      </c>
      <c r="C19" s="2" t="s">
        <v>244</v>
      </c>
      <c r="F19" s="3" t="str">
        <f ca="1">IF(IFERROR(_xludf.XLOOKUP(V19,cards!$A$2:$A$27,cards!$L$2:$L$27),0)&lt;=0,"",IFERROR(_xludf.XLOOKUP(V19,cards!$A$2:$A$27,cards!$L$2:$L$27),0)/MAX(1,IF(IFERROR(_xludf.XLOOKUP(G19,cards!$A$2:$A$27,cards!$C$2:$C$27),"")="employee",IFERROR(_xludf.XLOOKUP(G19,cards!$A$2:$A$27,cards!$F$2:$F$27),0),IF(IFERROR(_xludf.XLOOKUP(J19,cards!$A$2:$A$27,cards!$C$2:$C$27),"")="employee",IFERROR(_xludf.XLOOKUP(J19,cards!$A$2:$A$27,cards!$F$2:$F$27),0),IF(IFERROR(_xludf.XLOOKUP(M19,cards!$A$2:$A$27,cards!$C$2:$C$27),"")="employee",IFERROR(_xludf.XLOOKUP(M19,cards!$A$2:$A$27,cards!$F$2:$F$27),0),IF(IFERROR(_xludf.XLOOKUP(P19,cards!$A$2:$A$27,cards!$C$2:$C$27),"")="employee",IFERROR(_xludf.XLOOKUP(P19,cards!$A$2:$A$27,cards!$F$2:$F$27),0),IF(IFERROR(_xludf.XLOOKUP(S19,cards!$A$2:$A$27,cards!$C$2:$C$27),"")="employee",IFERROR(_xludf.XLOOKUP(S19,cards!$A$2:$A$27,cards!$F$2:$F$27),0),0)))))+IF(IFERROR(_xludf.XLOOKUP(G19,cards!$A$2:$A$27,cards!$C$2:$C$27),"")="tool",IFERROR(_xludf.XLOOKUP(G19,cards!$A$2:$A$27,cards!$H$2:$H$27),0),IF(IFERROR(_xludf.XLOOKUP(J19,cards!$A$2:$A$27,cards!$C$2:$C$27),"")="tool",IFERROR(_xludf.XLOOKUP(J19,cards!$A$2:$A$27,cards!$H$2:$H$27),0),IF(IFERROR(_xludf.XLOOKUP(M19,cards!$A$2:$A$27,cards!$C$2:$C$27),"")="tool",IFERROR(_xludf.XLOOKUP(M19,cards!$A$2:$A$27,cards!$H$2:$H$27),0),IF(IFERROR(_xludf.XLOOKUP(P19,cards!$A$2:$A$27,cards!$C$2:$C$27),"")="tool",IFERROR(_xludf.XLOOKUP(P19,cards!$A$2:$A$27,cards!$H$2:$H$27),0),IF(IFERROR(_xludf.XLOOKUP(S19,cards!$A$2:$A$27,cards!$C$2:$C$27),"")="tool",IFERROR(_xludf.XLOOKUP(S19,cards!$A$2:$A$27,cards!$H$2:$H$27),0),0)))))+IF(IFERROR(_xludf.XLOOKUP(G19,cards!$A$2:$A$27,cards!$C$2:$C$27),"")="product",IFERROR(_xludf.XLOOKUP(G19,cards!$A$2:$A$27,cards!$H$2:$H$27),0),IF(IFERROR(_xludf.XLOOKUP(J19,cards!$A$2:$A$27,cards!$C$2:$C$27),"")="product",IFERROR(_xludf.XLOOKUP(J19,cards!$A$2:$A$27,cards!$H$2:$H$27),0),IF(IFERROR(_xludf.XLOOKUP(M19,cards!$A$2:$A$27,cards!$C$2:$C$27),"")="product",IFERROR(_xludf.XLOOKUP(M19,cards!$A$2:$A$27,cards!$H$2:$H$27),0),IF(IFERROR(_xludf.XLOOKUP(P19,cards!$A$2:$A$27,cards!$C$2:$C$27),"")="product",IFERROR(_xludf.XLOOKUP(P19,cards!$A$2:$A$27,cards!$H$2:$H$27),0),IF(IFERROR(_xludf.XLOOKUP(S19,cards!$A$2:$A$27,cards!$C$2:$C$27),"")="product",IFERROR(_xludf.XLOOKUP(S19,cards!$A$2:$A$27,cards!$H$2:$H$27),0),0)))))))</f>
        <v/>
      </c>
      <c r="G19" t="s">
        <v>64</v>
      </c>
      <c r="H19">
        <v>1</v>
      </c>
      <c r="I19" t="s">
        <v>207</v>
      </c>
      <c r="J19" t="s">
        <v>69</v>
      </c>
      <c r="K19">
        <v>1</v>
      </c>
      <c r="L19" t="s">
        <v>207</v>
      </c>
      <c r="V19" t="s">
        <v>72</v>
      </c>
      <c r="W19">
        <v>1</v>
      </c>
      <c r="AG19" t="s">
        <v>60</v>
      </c>
    </row>
    <row r="20" spans="1:33" ht="15">
      <c r="A20" t="s">
        <v>245</v>
      </c>
      <c r="B20" s="2" t="s">
        <v>246</v>
      </c>
      <c r="C20" s="2" t="s">
        <v>247</v>
      </c>
      <c r="F20" s="3" t="str">
        <f ca="1">IF(IFERROR(_xludf.XLOOKUP(V20,cards!$A$2:$A$27,cards!$L$2:$L$27),0)&lt;=0,"",IFERROR(_xludf.XLOOKUP(V20,cards!$A$2:$A$27,cards!$L$2:$L$27),0)/MAX(1,IF(IFERROR(_xludf.XLOOKUP(G20,cards!$A$2:$A$27,cards!$C$2:$C$27),"")="employee",IFERROR(_xludf.XLOOKUP(G20,cards!$A$2:$A$27,cards!$F$2:$F$27),0),IF(IFERROR(_xludf.XLOOKUP(J20,cards!$A$2:$A$27,cards!$C$2:$C$27),"")="employee",IFERROR(_xludf.XLOOKUP(J20,cards!$A$2:$A$27,cards!$F$2:$F$27),0),IF(IFERROR(_xludf.XLOOKUP(M20,cards!$A$2:$A$27,cards!$C$2:$C$27),"")="employee",IFERROR(_xludf.XLOOKUP(M20,cards!$A$2:$A$27,cards!$F$2:$F$27),0),IF(IFERROR(_xludf.XLOOKUP(P20,cards!$A$2:$A$27,cards!$C$2:$C$27),"")="employee",IFERROR(_xludf.XLOOKUP(P20,cards!$A$2:$A$27,cards!$F$2:$F$27),0),IF(IFERROR(_xludf.XLOOKUP(S20,cards!$A$2:$A$27,cards!$C$2:$C$27),"")="employee",IFERROR(_xludf.XLOOKUP(S20,cards!$A$2:$A$27,cards!$F$2:$F$27),0),0)))))+IF(IFERROR(_xludf.XLOOKUP(G20,cards!$A$2:$A$27,cards!$C$2:$C$27),"")="tool",IFERROR(_xludf.XLOOKUP(G20,cards!$A$2:$A$27,cards!$H$2:$H$27),0),IF(IFERROR(_xludf.XLOOKUP(J20,cards!$A$2:$A$27,cards!$C$2:$C$27),"")="tool",IFERROR(_xludf.XLOOKUP(J20,cards!$A$2:$A$27,cards!$H$2:$H$27),0),IF(IFERROR(_xludf.XLOOKUP(M20,cards!$A$2:$A$27,cards!$C$2:$C$27),"")="tool",IFERROR(_xludf.XLOOKUP(M20,cards!$A$2:$A$27,cards!$H$2:$H$27),0),IF(IFERROR(_xludf.XLOOKUP(P20,cards!$A$2:$A$27,cards!$C$2:$C$27),"")="tool",IFERROR(_xludf.XLOOKUP(P20,cards!$A$2:$A$27,cards!$H$2:$H$27),0),IF(IFERROR(_xludf.XLOOKUP(S20,cards!$A$2:$A$27,cards!$C$2:$C$27),"")="tool",IFERROR(_xludf.XLOOKUP(S20,cards!$A$2:$A$27,cards!$H$2:$H$27),0),0)))))+IF(IFERROR(_xludf.XLOOKUP(G20,cards!$A$2:$A$27,cards!$C$2:$C$27),"")="product",IFERROR(_xludf.XLOOKUP(G20,cards!$A$2:$A$27,cards!$H$2:$H$27),0),IF(IFERROR(_xludf.XLOOKUP(J20,cards!$A$2:$A$27,cards!$C$2:$C$27),"")="product",IFERROR(_xludf.XLOOKUP(J20,cards!$A$2:$A$27,cards!$H$2:$H$27),0),IF(IFERROR(_xludf.XLOOKUP(M20,cards!$A$2:$A$27,cards!$C$2:$C$27),"")="product",IFERROR(_xludf.XLOOKUP(M20,cards!$A$2:$A$27,cards!$H$2:$H$27),0),IF(IFERROR(_xludf.XLOOKUP(P20,cards!$A$2:$A$27,cards!$C$2:$C$27),"")="product",IFERROR(_xludf.XLOOKUP(P20,cards!$A$2:$A$27,cards!$H$2:$H$27),0),IF(IFERROR(_xludf.XLOOKUP(S20,cards!$A$2:$A$27,cards!$C$2:$C$27),"")="product",IFERROR(_xludf.XLOOKUP(S20,cards!$A$2:$A$27,cards!$H$2:$H$27),0),0)))))))</f>
        <v/>
      </c>
      <c r="G20" t="s">
        <v>64</v>
      </c>
      <c r="H20">
        <v>1</v>
      </c>
      <c r="I20" t="s">
        <v>207</v>
      </c>
      <c r="J20" t="s">
        <v>70</v>
      </c>
      <c r="K20">
        <v>1</v>
      </c>
      <c r="L20" t="s">
        <v>207</v>
      </c>
      <c r="V20" t="s">
        <v>73</v>
      </c>
      <c r="W20">
        <v>1</v>
      </c>
      <c r="AG20" t="s">
        <v>60</v>
      </c>
    </row>
    <row r="21" spans="1:33" ht="15">
      <c r="A21" t="s">
        <v>248</v>
      </c>
      <c r="B21" s="2" t="s">
        <v>249</v>
      </c>
      <c r="C21" s="2" t="s">
        <v>250</v>
      </c>
      <c r="F21" s="3" t="str">
        <f ca="1">IF(IFERROR(_xludf.XLOOKUP(V21,cards!$A$2:$A$27,cards!$L$2:$L$27),0)&lt;=0,"",IFERROR(_xludf.XLOOKUP(V21,cards!$A$2:$A$27,cards!$L$2:$L$27),0)/MAX(1,IF(IFERROR(_xludf.XLOOKUP(G21,cards!$A$2:$A$27,cards!$C$2:$C$27),"")="employee",IFERROR(_xludf.XLOOKUP(G21,cards!$A$2:$A$27,cards!$F$2:$F$27),0),IF(IFERROR(_xludf.XLOOKUP(J21,cards!$A$2:$A$27,cards!$C$2:$C$27),"")="employee",IFERROR(_xludf.XLOOKUP(J21,cards!$A$2:$A$27,cards!$F$2:$F$27),0),IF(IFERROR(_xludf.XLOOKUP(M21,cards!$A$2:$A$27,cards!$C$2:$C$27),"")="employee",IFERROR(_xludf.XLOOKUP(M21,cards!$A$2:$A$27,cards!$F$2:$F$27),0),IF(IFERROR(_xludf.XLOOKUP(P21,cards!$A$2:$A$27,cards!$C$2:$C$27),"")="employee",IFERROR(_xludf.XLOOKUP(P21,cards!$A$2:$A$27,cards!$F$2:$F$27),0),IF(IFERROR(_xludf.XLOOKUP(S21,cards!$A$2:$A$27,cards!$C$2:$C$27),"")="employee",IFERROR(_xludf.XLOOKUP(S21,cards!$A$2:$A$27,cards!$F$2:$F$27),0),0)))))+IF(IFERROR(_xludf.XLOOKUP(G21,cards!$A$2:$A$27,cards!$C$2:$C$27),"")="tool",IFERROR(_xludf.XLOOKUP(G21,cards!$A$2:$A$27,cards!$H$2:$H$27),0),IF(IFERROR(_xludf.XLOOKUP(J21,cards!$A$2:$A$27,cards!$C$2:$C$27),"")="tool",IFERROR(_xludf.XLOOKUP(J21,cards!$A$2:$A$27,cards!$H$2:$H$27),0),IF(IFERROR(_xludf.XLOOKUP(M21,cards!$A$2:$A$27,cards!$C$2:$C$27),"")="tool",IFERROR(_xludf.XLOOKUP(M21,cards!$A$2:$A$27,cards!$H$2:$H$27),0),IF(IFERROR(_xludf.XLOOKUP(P21,cards!$A$2:$A$27,cards!$C$2:$C$27),"")="tool",IFERROR(_xludf.XLOOKUP(P21,cards!$A$2:$A$27,cards!$H$2:$H$27),0),IF(IFERROR(_xludf.XLOOKUP(S21,cards!$A$2:$A$27,cards!$C$2:$C$27),"")="tool",IFERROR(_xludf.XLOOKUP(S21,cards!$A$2:$A$27,cards!$H$2:$H$27),0),0)))))+IF(IFERROR(_xludf.XLOOKUP(G21,cards!$A$2:$A$27,cards!$C$2:$C$27),"")="product",IFERROR(_xludf.XLOOKUP(G21,cards!$A$2:$A$27,cards!$H$2:$H$27),0),IF(IFERROR(_xludf.XLOOKUP(J21,cards!$A$2:$A$27,cards!$C$2:$C$27),"")="product",IFERROR(_xludf.XLOOKUP(J21,cards!$A$2:$A$27,cards!$H$2:$H$27),0),IF(IFERROR(_xludf.XLOOKUP(M21,cards!$A$2:$A$27,cards!$C$2:$C$27),"")="product",IFERROR(_xludf.XLOOKUP(M21,cards!$A$2:$A$27,cards!$H$2:$H$27),0),IF(IFERROR(_xludf.XLOOKUP(P21,cards!$A$2:$A$27,cards!$C$2:$C$27),"")="product",IFERROR(_xludf.XLOOKUP(P21,cards!$A$2:$A$27,cards!$H$2:$H$27),0),IF(IFERROR(_xludf.XLOOKUP(S21,cards!$A$2:$A$27,cards!$C$2:$C$27),"")="product",IFERROR(_xludf.XLOOKUP(S21,cards!$A$2:$A$27,cards!$H$2:$H$27),0),0)))))))</f>
        <v/>
      </c>
      <c r="G21" t="s">
        <v>58</v>
      </c>
      <c r="H21">
        <v>1</v>
      </c>
      <c r="I21" t="s">
        <v>198</v>
      </c>
      <c r="J21" t="s">
        <v>65</v>
      </c>
      <c r="K21">
        <v>1</v>
      </c>
      <c r="L21" t="s">
        <v>207</v>
      </c>
      <c r="V21" t="s">
        <v>66</v>
      </c>
      <c r="W21">
        <v>1</v>
      </c>
      <c r="AG21" t="s">
        <v>60</v>
      </c>
    </row>
    <row r="22" spans="1:33">
      <c r="A22" t="s">
        <v>251</v>
      </c>
      <c r="B22" t="s">
        <v>252</v>
      </c>
      <c r="C22" t="s">
        <v>253</v>
      </c>
      <c r="F22" s="3" t="str">
        <f ca="1">IF(IFERROR(_xludf.XLOOKUP(V22,cards!$A$2:$A$27,cards!$L$2:$L$27),0)&lt;=0,"",IFERROR(_xludf.XLOOKUP(V22,cards!$A$2:$A$27,cards!$L$2:$L$27),0)/MAX(1,IF(IFERROR(_xludf.XLOOKUP(G22,cards!$A$2:$A$27,cards!$C$2:$C$27),"")="employee",IFERROR(_xludf.XLOOKUP(G22,cards!$A$2:$A$27,cards!$F$2:$F$27),0),IF(IFERROR(_xludf.XLOOKUP(J22,cards!$A$2:$A$27,cards!$C$2:$C$27),"")="employee",IFERROR(_xludf.XLOOKUP(J22,cards!$A$2:$A$27,cards!$F$2:$F$27),0),IF(IFERROR(_xludf.XLOOKUP(M22,cards!$A$2:$A$27,cards!$C$2:$C$27),"")="employee",IFERROR(_xludf.XLOOKUP(M22,cards!$A$2:$A$27,cards!$F$2:$F$27),0),IF(IFERROR(_xludf.XLOOKUP(P22,cards!$A$2:$A$27,cards!$C$2:$C$27),"")="employee",IFERROR(_xludf.XLOOKUP(P22,cards!$A$2:$A$27,cards!$F$2:$F$27),0),IF(IFERROR(_xludf.XLOOKUP(S22,cards!$A$2:$A$27,cards!$C$2:$C$27),"")="employee",IFERROR(_xludf.XLOOKUP(S22,cards!$A$2:$A$27,cards!$F$2:$F$27),0),0)))))+IF(IFERROR(_xludf.XLOOKUP(G22,cards!$A$2:$A$27,cards!$C$2:$C$27),"")="tool",IFERROR(_xludf.XLOOKUP(G22,cards!$A$2:$A$27,cards!$H$2:$H$27),0),IF(IFERROR(_xludf.XLOOKUP(J22,cards!$A$2:$A$27,cards!$C$2:$C$27),"")="tool",IFERROR(_xludf.XLOOKUP(J22,cards!$A$2:$A$27,cards!$H$2:$H$27),0),IF(IFERROR(_xludf.XLOOKUP(M22,cards!$A$2:$A$27,cards!$C$2:$C$27),"")="tool",IFERROR(_xludf.XLOOKUP(M22,cards!$A$2:$A$27,cards!$H$2:$H$27),0),IF(IFERROR(_xludf.XLOOKUP(P22,cards!$A$2:$A$27,cards!$C$2:$C$27),"")="tool",IFERROR(_xludf.XLOOKUP(P22,cards!$A$2:$A$27,cards!$H$2:$H$27),0),IF(IFERROR(_xludf.XLOOKUP(S22,cards!$A$2:$A$27,cards!$C$2:$C$27),"")="tool",IFERROR(_xludf.XLOOKUP(S22,cards!$A$2:$A$27,cards!$H$2:$H$27),0),0)))))+IF(IFERROR(_xludf.XLOOKUP(G22,cards!$A$2:$A$27,cards!$C$2:$C$27),"")="product",IFERROR(_xludf.XLOOKUP(G22,cards!$A$2:$A$27,cards!$H$2:$H$27),0),IF(IFERROR(_xludf.XLOOKUP(J22,cards!$A$2:$A$27,cards!$C$2:$C$27),"")="product",IFERROR(_xludf.XLOOKUP(J22,cards!$A$2:$A$27,cards!$H$2:$H$27),0),IF(IFERROR(_xludf.XLOOKUP(M22,cards!$A$2:$A$27,cards!$C$2:$C$27),"")="product",IFERROR(_xludf.XLOOKUP(M22,cards!$A$2:$A$27,cards!$H$2:$H$27),0),IF(IFERROR(_xludf.XLOOKUP(P22,cards!$A$2:$A$27,cards!$C$2:$C$27),"")="product",IFERROR(_xludf.XLOOKUP(P22,cards!$A$2:$A$27,cards!$H$2:$H$27),0),IF(IFERROR(_xludf.XLOOKUP(S22,cards!$A$2:$A$27,cards!$C$2:$C$27),"")="product",IFERROR(_xludf.XLOOKUP(S22,cards!$A$2:$A$27,cards!$H$2:$H$27),0),0)))))))</f>
        <v/>
      </c>
      <c r="G22" t="s">
        <v>67</v>
      </c>
      <c r="H22">
        <v>1</v>
      </c>
      <c r="I22" t="s">
        <v>207</v>
      </c>
      <c r="J22" t="s">
        <v>62</v>
      </c>
      <c r="K22">
        <v>1</v>
      </c>
      <c r="L22" t="s">
        <v>198</v>
      </c>
      <c r="V22" t="s">
        <v>63</v>
      </c>
      <c r="W22">
        <v>1</v>
      </c>
      <c r="AG22" t="s">
        <v>60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1"/>
  <sheetViews>
    <sheetView workbookViewId="0"/>
  </sheetViews>
  <sheetFormatPr baseColWidth="10" defaultColWidth="8.83203125" defaultRowHeight="14"/>
  <cols>
    <col min="1" max="1" width="20.83203125" customWidth="1"/>
    <col min="2" max="2" width="15" customWidth="1"/>
  </cols>
  <sheetData>
    <row r="1" spans="1:4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>
      <c r="A2" t="s">
        <v>46</v>
      </c>
      <c r="B2" t="s">
        <v>47</v>
      </c>
      <c r="C2">
        <v>0</v>
      </c>
      <c r="D2">
        <v>3</v>
      </c>
      <c r="E2">
        <v>3</v>
      </c>
      <c r="F2">
        <v>4</v>
      </c>
      <c r="G2" t="s">
        <v>48</v>
      </c>
      <c r="H2">
        <v>40</v>
      </c>
      <c r="I2" t="s">
        <v>49</v>
      </c>
      <c r="J2">
        <v>60</v>
      </c>
      <c r="K2" t="s">
        <v>50</v>
      </c>
      <c r="L2">
        <v>25</v>
      </c>
      <c r="O2" t="s">
        <v>51</v>
      </c>
      <c r="P2">
        <v>40</v>
      </c>
      <c r="Q2" t="s">
        <v>52</v>
      </c>
      <c r="R2">
        <v>35</v>
      </c>
      <c r="S2" t="s">
        <v>53</v>
      </c>
      <c r="T2">
        <v>25</v>
      </c>
      <c r="W2" t="s">
        <v>54</v>
      </c>
      <c r="X2">
        <v>40</v>
      </c>
      <c r="Y2" t="s">
        <v>55</v>
      </c>
      <c r="Z2">
        <v>35</v>
      </c>
      <c r="AA2" t="s">
        <v>56</v>
      </c>
      <c r="AB2">
        <v>25</v>
      </c>
      <c r="AE2" t="s">
        <v>57</v>
      </c>
      <c r="AF2">
        <v>34</v>
      </c>
      <c r="AG2" t="s">
        <v>58</v>
      </c>
      <c r="AH2">
        <v>33</v>
      </c>
      <c r="AI2" t="s">
        <v>59</v>
      </c>
      <c r="AJ2">
        <v>33</v>
      </c>
    </row>
    <row r="3" spans="1:46">
      <c r="A3" t="s">
        <v>60</v>
      </c>
      <c r="B3" t="s">
        <v>61</v>
      </c>
      <c r="C3">
        <v>1</v>
      </c>
      <c r="D3">
        <v>5</v>
      </c>
      <c r="E3">
        <v>3</v>
      </c>
      <c r="F3">
        <v>5</v>
      </c>
      <c r="G3" t="s">
        <v>62</v>
      </c>
      <c r="H3">
        <v>55</v>
      </c>
      <c r="I3" t="s">
        <v>63</v>
      </c>
      <c r="J3">
        <v>45</v>
      </c>
      <c r="O3" t="s">
        <v>53</v>
      </c>
      <c r="P3">
        <v>25</v>
      </c>
      <c r="Q3" t="s">
        <v>64</v>
      </c>
      <c r="R3">
        <v>20</v>
      </c>
      <c r="S3" t="s">
        <v>65</v>
      </c>
      <c r="T3">
        <v>30</v>
      </c>
      <c r="U3" t="s">
        <v>66</v>
      </c>
      <c r="V3">
        <v>25</v>
      </c>
      <c r="W3" t="s">
        <v>51</v>
      </c>
      <c r="X3">
        <v>34</v>
      </c>
      <c r="Y3" t="s">
        <v>55</v>
      </c>
      <c r="Z3">
        <v>33</v>
      </c>
      <c r="AA3" t="s">
        <v>67</v>
      </c>
      <c r="AB3">
        <v>33</v>
      </c>
      <c r="AE3" t="s">
        <v>68</v>
      </c>
      <c r="AF3">
        <v>34</v>
      </c>
      <c r="AG3" t="s">
        <v>69</v>
      </c>
      <c r="AH3">
        <v>33</v>
      </c>
      <c r="AI3" t="s">
        <v>70</v>
      </c>
      <c r="AJ3">
        <v>33</v>
      </c>
      <c r="AM3" t="s">
        <v>71</v>
      </c>
      <c r="AN3">
        <v>34</v>
      </c>
      <c r="AO3" t="s">
        <v>72</v>
      </c>
      <c r="AP3">
        <v>33</v>
      </c>
      <c r="AQ3" t="s">
        <v>73</v>
      </c>
      <c r="AR3">
        <v>33</v>
      </c>
    </row>
    <row r="4" spans="1:46">
      <c r="A4" t="s">
        <v>74</v>
      </c>
      <c r="B4" t="s">
        <v>75</v>
      </c>
      <c r="C4">
        <v>1</v>
      </c>
      <c r="D4">
        <v>6</v>
      </c>
      <c r="E4">
        <v>3</v>
      </c>
      <c r="F4">
        <v>5</v>
      </c>
    </row>
    <row r="5" spans="1:46">
      <c r="A5" t="s">
        <v>76</v>
      </c>
      <c r="B5" t="s">
        <v>77</v>
      </c>
      <c r="C5">
        <v>2</v>
      </c>
      <c r="D5">
        <v>10</v>
      </c>
      <c r="E5">
        <v>3</v>
      </c>
      <c r="F5">
        <v>5</v>
      </c>
    </row>
    <row r="6" spans="1:46">
      <c r="A6" t="s">
        <v>78</v>
      </c>
      <c r="B6" t="s">
        <v>79</v>
      </c>
      <c r="C6">
        <v>2</v>
      </c>
      <c r="D6">
        <v>8</v>
      </c>
      <c r="E6">
        <v>3</v>
      </c>
      <c r="F6">
        <v>5</v>
      </c>
    </row>
    <row r="7" spans="1:46">
      <c r="A7" t="s">
        <v>80</v>
      </c>
      <c r="B7" t="s">
        <v>81</v>
      </c>
      <c r="C7">
        <v>3</v>
      </c>
      <c r="D7">
        <v>12</v>
      </c>
      <c r="E7">
        <v>3</v>
      </c>
      <c r="F7">
        <v>5</v>
      </c>
    </row>
    <row r="8" spans="1:46">
      <c r="A8" t="s">
        <v>82</v>
      </c>
      <c r="B8" t="s">
        <v>83</v>
      </c>
      <c r="C8">
        <v>4</v>
      </c>
      <c r="D8">
        <v>16</v>
      </c>
      <c r="E8">
        <v>3</v>
      </c>
      <c r="F8">
        <v>5</v>
      </c>
    </row>
    <row r="9" spans="1:46">
      <c r="A9" t="s">
        <v>84</v>
      </c>
      <c r="B9" t="s">
        <v>85</v>
      </c>
      <c r="C9">
        <v>5</v>
      </c>
      <c r="D9">
        <v>24</v>
      </c>
      <c r="E9">
        <v>4</v>
      </c>
      <c r="F9">
        <v>5</v>
      </c>
    </row>
    <row r="10" spans="1:46">
      <c r="A10" t="s">
        <v>86</v>
      </c>
      <c r="B10" t="s">
        <v>87</v>
      </c>
      <c r="C10">
        <v>5</v>
      </c>
      <c r="D10">
        <v>34</v>
      </c>
      <c r="E10">
        <v>4</v>
      </c>
      <c r="F10">
        <v>5</v>
      </c>
    </row>
    <row r="11" spans="1:46">
      <c r="A11" t="s">
        <v>88</v>
      </c>
      <c r="B11" t="s">
        <v>89</v>
      </c>
      <c r="C11">
        <v>6</v>
      </c>
      <c r="D11">
        <v>50</v>
      </c>
      <c r="E11">
        <v>4</v>
      </c>
      <c r="F11"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cards</vt:lpstr>
      <vt:lpstr>recipes</vt:lpstr>
      <vt:lpstr>packs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Frank Fan</cp:lastModifiedBy>
  <dcterms:modified xsi:type="dcterms:W3CDTF">2026-06-14T11:27:43Z</dcterms:modified>
</cp:coreProperties>
</file>